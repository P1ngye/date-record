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37857\Desktop\git库\date-record-main\"/>
    </mc:Choice>
  </mc:AlternateContent>
  <xr:revisionPtr revIDLastSave="0" documentId="13_ncr:1_{3CFD37B8-A5AF-45CE-94EC-692B3F01188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Paper Registry" sheetId="1" r:id="rId1"/>
  </sheet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2" i="1" l="1"/>
  <c r="J4" i="1"/>
  <c r="J5" i="1"/>
  <c r="J3" i="1"/>
</calcChain>
</file>

<file path=xl/sharedStrings.xml><?xml version="1.0" encoding="utf-8"?>
<sst xmlns="http://schemas.openxmlformats.org/spreadsheetml/2006/main" count="153" uniqueCount="47">
  <si>
    <t>Paper 数据登记表</t>
  </si>
  <si>
    <t>统计</t>
  </si>
  <si>
    <t>用于逐篇记录 paperid、模拟/PT情况与复审状态</t>
  </si>
  <si>
    <t>已登记论文数</t>
  </si>
  <si>
    <t>布尔字段统一使用“是 / 否”；QA 建议填写“通过 / 待补充 / 待复审”</t>
  </si>
  <si>
    <t>含模拟数据</t>
  </si>
  <si>
    <t>paperid</t>
  </si>
  <si>
    <t>是否有模拟数据</t>
  </si>
  <si>
    <t>是否有 PT 数据</t>
  </si>
  <si>
    <t>是否复审</t>
  </si>
  <si>
    <t>QA</t>
  </si>
  <si>
    <t>登记人</t>
  </si>
  <si>
    <t>复审人</t>
  </si>
  <si>
    <t>含 PT 数据</t>
  </si>
  <si>
    <t>已复审</t>
  </si>
  <si>
    <t>Aucone_AUG_PPCF_2024</t>
  </si>
  <si>
    <t>是</t>
  </si>
  <si>
    <t>否</t>
  </si>
  <si>
    <t>待复审</t>
  </si>
  <si>
    <t>王澔博</t>
  </si>
  <si>
    <t>Moret_TCV_PRL_1997</t>
  </si>
  <si>
    <t>Merlo_TOKAMAK_PoP_2023</t>
  </si>
  <si>
    <t>Muscente_TCV_NME_2023</t>
  </si>
  <si>
    <t>Nishimura_DIIID_PoP_2020</t>
  </si>
  <si>
    <t>Bagnato_TCV_PPCF_2024</t>
  </si>
  <si>
    <t>Merlo_TCV_PoP_2019</t>
    <phoneticPr fontId="9" type="noConversion"/>
  </si>
  <si>
    <t>是</t>
    <phoneticPr fontId="9" type="noConversion"/>
  </si>
  <si>
    <t>否</t>
    <phoneticPr fontId="9" type="noConversion"/>
  </si>
  <si>
    <t>待复审</t>
    <phoneticPr fontId="9" type="noConversion"/>
  </si>
  <si>
    <t>王澔博</t>
    <phoneticPr fontId="9" type="noConversion"/>
  </si>
  <si>
    <t>Paz_Soldan_DIIID_NF_2024</t>
    <phoneticPr fontId="9" type="noConversion"/>
  </si>
  <si>
    <t>Paz_Soldan_DIIID_PPCF_2021</t>
    <phoneticPr fontId="9" type="noConversion"/>
  </si>
  <si>
    <t>Pochelon_TCV_NF_1999</t>
    <phoneticPr fontId="9" type="noConversion"/>
  </si>
  <si>
    <t>徐逸川</t>
    <phoneticPr fontId="9" type="noConversion"/>
  </si>
  <si>
    <t>Balestri_SMART_PPCF_2024</t>
    <phoneticPr fontId="9" type="noConversion"/>
  </si>
  <si>
    <t>Balestri_MULTI_PPCF_2025</t>
    <phoneticPr fontId="9" type="noConversion"/>
  </si>
  <si>
    <t>Balestri_TCV_PPCF_2024</t>
    <phoneticPr fontId="9" type="noConversion"/>
  </si>
  <si>
    <t>Schwartz_DEMO_NF_2022</t>
    <phoneticPr fontId="9" type="noConversion"/>
  </si>
  <si>
    <t>Sheffield_GENERIC_FST_2016</t>
    <phoneticPr fontId="9" type="noConversion"/>
  </si>
  <si>
    <t>Sauter_DEMO_FED_2016</t>
    <phoneticPr fontId="9" type="noConversion"/>
  </si>
  <si>
    <t>Rewoldt_ISXB_PhysFluids_1982</t>
    <phoneticPr fontId="9" type="noConversion"/>
  </si>
  <si>
    <t>Riva_TOKAMAK_PPCF_2017</t>
    <phoneticPr fontId="9" type="noConversion"/>
  </si>
  <si>
    <t>Wang_TOK_NF_2023</t>
    <phoneticPr fontId="9" type="noConversion"/>
  </si>
  <si>
    <t>Slendebroek_DIIID_NF_2026</t>
    <phoneticPr fontId="9" type="noConversion"/>
  </si>
  <si>
    <t>Coda_TCV_PPCF_2022</t>
    <phoneticPr fontId="9" type="noConversion"/>
  </si>
  <si>
    <t>Coda_TCV_NF_2019</t>
    <phoneticPr fontId="9" type="noConversion"/>
  </si>
  <si>
    <t>Happel_AUG_NF_2023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</si>
</sst>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name val="Carlito"/>
    </font>
    <font>
      <b/>
      <sz val="16"/>
      <color rgb="FFFFFFFF"/>
      <name val="Carlito"/>
    </font>
    <font>
      <b/>
      <i/>
      <sz val="10"/>
      <color rgb="FF334155"/>
      <name val="Carlito"/>
    </font>
    <font>
      <sz val="9"/>
      <color rgb="FF475569"/>
      <name val="Carlito"/>
    </font>
    <font>
      <b/>
      <sz val="10"/>
      <color rgb="FFFFFFFF"/>
      <name val="Carlito"/>
    </font>
    <font>
      <sz val="10"/>
      <color rgb="FF1F2937"/>
      <name val="Carlito"/>
    </font>
    <font>
      <b/>
      <sz val="11"/>
      <color rgb="FFFFFFFF"/>
      <name val="Carlito"/>
    </font>
    <font>
      <b/>
      <sz val="10"/>
      <color rgb="FF1F2937"/>
      <name val="Carlito"/>
    </font>
    <font>
      <sz val="11"/>
      <name val="Carlito"/>
    </font>
    <font>
      <sz val="9"/>
      <name val="宋体"/>
      <family val="3"/>
      <charset val="134"/>
    </font>
    <font>
      <sz val="11"/>
      <name val="Microsoft YaHei"/>
      <family val="2"/>
      <charset val="134"/>
    </font>
    <font>
      <b/>
      <sz val="11"/>
      <color rgb="FFFFFFFF"/>
      <name val="Microsoft YaHei"/>
      <family val="2"/>
      <charset val="134"/>
    </font>
    <font>
      <sz val="11"/>
      <color rgb="FF1F2937"/>
      <name val="Microsoft YaHei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23F67"/>
      </patternFill>
    </fill>
    <fill>
      <patternFill patternType="solid">
        <fgColor rgb="FFD7DEE8"/>
      </patternFill>
    </fill>
    <fill>
      <patternFill patternType="solid">
        <fgColor rgb="FFF7F9FC"/>
      </patternFill>
    </fill>
    <fill>
      <patternFill patternType="solid">
        <fgColor rgb="FF4E6A8D"/>
      </patternFill>
    </fill>
    <fill>
      <patternFill patternType="solid">
        <fgColor rgb="FFFBFDFF"/>
      </patternFill>
    </fill>
    <fill>
      <patternFill patternType="solid">
        <fgColor rgb="FFE6F0F5"/>
      </patternFill>
    </fill>
    <fill>
      <patternFill patternType="solid">
        <fgColor rgb="FFFBE7DA"/>
      </patternFill>
    </fill>
    <fill>
      <patternFill patternType="solid">
        <fgColor rgb="FFE5F2E8"/>
      </patternFill>
    </fill>
    <fill>
      <patternFill patternType="solid">
        <fgColor rgb="FFECF1F7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8" fillId="0" borderId="0"/>
  </cellStyleXfs>
  <cellXfs count="22">
    <xf numFmtId="0" fontId="0" fillId="0" borderId="0" xfId="0"/>
    <xf numFmtId="0" fontId="4" fillId="5" borderId="3" xfId="1" applyFont="1" applyFill="1" applyBorder="1" applyAlignment="1">
      <alignment horizontal="center" vertical="center" wrapText="1"/>
    </xf>
    <xf numFmtId="0" fontId="5" fillId="6" borderId="3" xfId="1" applyFont="1" applyFill="1" applyBorder="1" applyAlignment="1">
      <alignment horizontal="center" vertical="center"/>
    </xf>
    <xf numFmtId="0" fontId="7" fillId="10" borderId="4" xfId="1" applyFont="1" applyFill="1" applyBorder="1" applyAlignment="1">
      <alignment vertical="center"/>
    </xf>
    <xf numFmtId="0" fontId="7" fillId="10" borderId="6" xfId="1" applyFont="1" applyFill="1" applyBorder="1" applyAlignment="1">
      <alignment vertical="center"/>
    </xf>
    <xf numFmtId="0" fontId="7" fillId="10" borderId="8" xfId="1" applyFont="1" applyFill="1" applyBorder="1" applyAlignment="1">
      <alignment vertical="center"/>
    </xf>
    <xf numFmtId="0" fontId="5" fillId="10" borderId="5" xfId="1" applyFont="1" applyFill="1" applyBorder="1" applyAlignment="1">
      <alignment horizontal="center" vertical="center"/>
    </xf>
    <xf numFmtId="0" fontId="5" fillId="10" borderId="7" xfId="1" applyFont="1" applyFill="1" applyBorder="1" applyAlignment="1">
      <alignment horizontal="center" vertical="center"/>
    </xf>
    <xf numFmtId="0" fontId="5" fillId="10" borderId="9" xfId="1" applyFont="1" applyFill="1" applyBorder="1" applyAlignment="1">
      <alignment horizontal="center" vertical="center"/>
    </xf>
    <xf numFmtId="0" fontId="11" fillId="5" borderId="1" xfId="1" applyFont="1" applyFill="1" applyBorder="1" applyAlignment="1">
      <alignment horizontal="center" vertical="center" wrapText="1"/>
    </xf>
    <xf numFmtId="0" fontId="11" fillId="5" borderId="2" xfId="1" applyFont="1" applyFill="1" applyBorder="1" applyAlignment="1">
      <alignment horizontal="center" vertical="center" wrapText="1"/>
    </xf>
    <xf numFmtId="0" fontId="12" fillId="6" borderId="1" xfId="1" applyFont="1" applyFill="1" applyBorder="1" applyAlignment="1">
      <alignment horizontal="center" vertical="center" wrapText="1"/>
    </xf>
    <xf numFmtId="0" fontId="12" fillId="7" borderId="2" xfId="1" applyFont="1" applyFill="1" applyBorder="1" applyAlignment="1">
      <alignment horizontal="center" vertical="center" wrapText="1"/>
    </xf>
    <xf numFmtId="0" fontId="12" fillId="8" borderId="2" xfId="1" applyFont="1" applyFill="1" applyBorder="1" applyAlignment="1">
      <alignment horizontal="center" vertical="center" wrapText="1"/>
    </xf>
    <xf numFmtId="0" fontId="12" fillId="9" borderId="2" xfId="1" applyFont="1" applyFill="1" applyBorder="1" applyAlignment="1">
      <alignment horizontal="center" vertical="center" wrapText="1"/>
    </xf>
    <xf numFmtId="0" fontId="12" fillId="6" borderId="2" xfId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" fillId="2" borderId="0" xfId="1" applyFont="1" applyFill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3" fillId="4" borderId="0" xfId="1" applyFont="1" applyFill="1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7"/>
  <sheetViews>
    <sheetView tabSelected="1" topLeftCell="A4" zoomScale="70" zoomScaleNormal="70" workbookViewId="0">
      <selection activeCell="G26" sqref="G26"/>
    </sheetView>
  </sheetViews>
  <sheetFormatPr defaultRowHeight="14"/>
  <cols>
    <col min="1" max="1" width="41.83203125" customWidth="1"/>
    <col min="2" max="2" width="28.25" customWidth="1"/>
    <col min="3" max="3" width="28.08203125" customWidth="1"/>
    <col min="4" max="4" width="22.33203125" customWidth="1"/>
    <col min="5" max="6" width="20.58203125" customWidth="1"/>
    <col min="7" max="7" width="12" customWidth="1"/>
    <col min="8" max="8" width="4" customWidth="1"/>
    <col min="9" max="9" width="14" customWidth="1"/>
    <col min="10" max="10" width="10" customWidth="1"/>
  </cols>
  <sheetData>
    <row r="1" spans="1:10" ht="10.65" customHeight="1">
      <c r="A1" s="17" t="s">
        <v>0</v>
      </c>
      <c r="B1" s="17"/>
      <c r="C1" s="17"/>
      <c r="D1" s="17"/>
      <c r="E1" s="17"/>
      <c r="F1" s="17"/>
      <c r="G1" s="17"/>
      <c r="I1" s="20" t="s">
        <v>1</v>
      </c>
      <c r="J1" s="21"/>
    </row>
    <row r="2" spans="1:10" ht="9.75" customHeight="1">
      <c r="A2" s="18" t="s">
        <v>2</v>
      </c>
      <c r="B2" s="18"/>
      <c r="C2" s="18"/>
      <c r="D2" s="18"/>
      <c r="E2" s="18"/>
      <c r="F2" s="18"/>
      <c r="G2" s="18"/>
      <c r="I2" s="3" t="s">
        <v>3</v>
      </c>
      <c r="J2" s="6">
        <f>COUNTA(A5:A200)</f>
        <v>23</v>
      </c>
    </row>
    <row r="3" spans="1:10" ht="9.75" customHeight="1">
      <c r="A3" s="19" t="s">
        <v>4</v>
      </c>
      <c r="B3" s="19"/>
      <c r="C3" s="19"/>
      <c r="D3" s="19"/>
      <c r="E3" s="19"/>
      <c r="F3" s="19"/>
      <c r="G3" s="19"/>
      <c r="I3" s="4" t="s">
        <v>5</v>
      </c>
      <c r="J3" s="7">
        <f>COUNTIF(B5:B200,"是")</f>
        <v>9</v>
      </c>
    </row>
    <row r="4" spans="1:10" ht="32.5" customHeight="1">
      <c r="A4" s="9" t="s">
        <v>6</v>
      </c>
      <c r="B4" s="10" t="s">
        <v>7</v>
      </c>
      <c r="C4" s="10" t="s">
        <v>8</v>
      </c>
      <c r="D4" s="10" t="s">
        <v>9</v>
      </c>
      <c r="E4" s="10" t="s">
        <v>10</v>
      </c>
      <c r="F4" s="10" t="s">
        <v>11</v>
      </c>
      <c r="G4" s="1" t="s">
        <v>12</v>
      </c>
      <c r="I4" s="4" t="s">
        <v>13</v>
      </c>
      <c r="J4" s="7">
        <f>COUNTIF(C5:C200,"是")</f>
        <v>6</v>
      </c>
    </row>
    <row r="5" spans="1:10" ht="32.5" customHeight="1">
      <c r="A5" s="11" t="s">
        <v>15</v>
      </c>
      <c r="B5" s="12" t="s">
        <v>16</v>
      </c>
      <c r="C5" s="12" t="s">
        <v>16</v>
      </c>
      <c r="D5" s="13" t="s">
        <v>17</v>
      </c>
      <c r="E5" s="14" t="s">
        <v>18</v>
      </c>
      <c r="F5" s="15" t="s">
        <v>19</v>
      </c>
      <c r="G5" s="2"/>
      <c r="I5" s="5" t="s">
        <v>14</v>
      </c>
      <c r="J5" s="8">
        <f>COUNTIF(D5:D200,"是")</f>
        <v>0</v>
      </c>
    </row>
    <row r="6" spans="1:10" ht="32.5" customHeight="1">
      <c r="A6" s="16" t="s">
        <v>20</v>
      </c>
      <c r="B6" s="16" t="s">
        <v>17</v>
      </c>
      <c r="C6" s="16" t="s">
        <v>27</v>
      </c>
      <c r="D6" s="16" t="s">
        <v>17</v>
      </c>
      <c r="E6" s="16" t="s">
        <v>18</v>
      </c>
      <c r="F6" s="16" t="s">
        <v>19</v>
      </c>
    </row>
    <row r="7" spans="1:10" ht="32.5" customHeight="1">
      <c r="A7" s="16" t="s">
        <v>21</v>
      </c>
      <c r="B7" s="16" t="s">
        <v>16</v>
      </c>
      <c r="C7" s="16" t="s">
        <v>27</v>
      </c>
      <c r="D7" s="16" t="s">
        <v>17</v>
      </c>
      <c r="E7" s="16" t="s">
        <v>18</v>
      </c>
      <c r="F7" s="16" t="s">
        <v>19</v>
      </c>
    </row>
    <row r="8" spans="1:10" ht="32.5" customHeight="1">
      <c r="A8" s="16" t="s">
        <v>22</v>
      </c>
      <c r="B8" s="16" t="s">
        <v>16</v>
      </c>
      <c r="C8" s="16" t="s">
        <v>16</v>
      </c>
      <c r="D8" s="16" t="s">
        <v>17</v>
      </c>
      <c r="E8" s="16" t="s">
        <v>18</v>
      </c>
      <c r="F8" s="16" t="s">
        <v>19</v>
      </c>
    </row>
    <row r="9" spans="1:10" ht="32.5" customHeight="1">
      <c r="A9" s="16" t="s">
        <v>23</v>
      </c>
      <c r="B9" s="16" t="s">
        <v>16</v>
      </c>
      <c r="C9" s="16" t="s">
        <v>27</v>
      </c>
      <c r="D9" s="16" t="s">
        <v>17</v>
      </c>
      <c r="E9" s="16" t="s">
        <v>18</v>
      </c>
      <c r="F9" s="16" t="s">
        <v>19</v>
      </c>
    </row>
    <row r="10" spans="1:10" ht="32.5" customHeight="1">
      <c r="A10" s="16" t="s">
        <v>24</v>
      </c>
      <c r="B10" s="16" t="s">
        <v>17</v>
      </c>
      <c r="C10" s="16" t="s">
        <v>27</v>
      </c>
      <c r="D10" s="16" t="s">
        <v>17</v>
      </c>
      <c r="E10" s="16" t="s">
        <v>18</v>
      </c>
      <c r="F10" s="16" t="s">
        <v>19</v>
      </c>
    </row>
    <row r="11" spans="1:10" ht="32.5" customHeight="1">
      <c r="A11" s="16" t="s">
        <v>25</v>
      </c>
      <c r="B11" s="16" t="s">
        <v>26</v>
      </c>
      <c r="C11" s="16" t="s">
        <v>26</v>
      </c>
      <c r="D11" s="16" t="s">
        <v>27</v>
      </c>
      <c r="E11" s="16" t="s">
        <v>28</v>
      </c>
      <c r="F11" s="16" t="s">
        <v>29</v>
      </c>
    </row>
    <row r="12" spans="1:10" ht="32.5" customHeight="1">
      <c r="A12" s="16" t="s">
        <v>30</v>
      </c>
      <c r="B12" s="16" t="s">
        <v>27</v>
      </c>
      <c r="C12" s="16" t="s">
        <v>27</v>
      </c>
      <c r="D12" s="16" t="s">
        <v>27</v>
      </c>
      <c r="E12" s="16" t="s">
        <v>28</v>
      </c>
      <c r="F12" s="16" t="s">
        <v>29</v>
      </c>
    </row>
    <row r="13" spans="1:10" ht="32.5" customHeight="1">
      <c r="A13" s="16" t="s">
        <v>31</v>
      </c>
      <c r="B13" s="16" t="s">
        <v>27</v>
      </c>
      <c r="C13" s="16" t="s">
        <v>27</v>
      </c>
      <c r="D13" s="16" t="s">
        <v>27</v>
      </c>
      <c r="E13" s="16" t="s">
        <v>28</v>
      </c>
      <c r="F13" s="16" t="s">
        <v>29</v>
      </c>
    </row>
    <row r="14" spans="1:10" ht="32.5" customHeight="1">
      <c r="A14" s="16" t="s">
        <v>32</v>
      </c>
      <c r="B14" s="16" t="s">
        <v>26</v>
      </c>
      <c r="C14" s="16" t="s">
        <v>27</v>
      </c>
      <c r="D14" s="16" t="s">
        <v>27</v>
      </c>
      <c r="E14" s="16" t="s">
        <v>28</v>
      </c>
      <c r="F14" s="16" t="s">
        <v>29</v>
      </c>
    </row>
    <row r="15" spans="1:10" ht="33" customHeight="1">
      <c r="A15" s="11" t="s">
        <v>34</v>
      </c>
      <c r="B15" s="16" t="s">
        <v>26</v>
      </c>
      <c r="C15" s="16" t="s">
        <v>27</v>
      </c>
      <c r="D15" s="16" t="s">
        <v>27</v>
      </c>
      <c r="E15" s="16" t="s">
        <v>28</v>
      </c>
      <c r="F15" s="16" t="s">
        <v>33</v>
      </c>
    </row>
    <row r="16" spans="1:10" ht="32.5" customHeight="1">
      <c r="A16" s="16" t="s">
        <v>35</v>
      </c>
      <c r="B16" s="16" t="s">
        <v>27</v>
      </c>
      <c r="C16" s="16" t="s">
        <v>27</v>
      </c>
      <c r="D16" s="16" t="s">
        <v>27</v>
      </c>
      <c r="E16" s="16" t="s">
        <v>28</v>
      </c>
      <c r="F16" s="16" t="s">
        <v>33</v>
      </c>
    </row>
    <row r="17" spans="1:6" ht="32.5" customHeight="1">
      <c r="A17" s="16" t="s">
        <v>36</v>
      </c>
      <c r="B17" s="16" t="s">
        <v>26</v>
      </c>
      <c r="C17" s="16" t="s">
        <v>26</v>
      </c>
      <c r="D17" s="16" t="s">
        <v>27</v>
      </c>
      <c r="E17" s="16" t="s">
        <v>28</v>
      </c>
      <c r="F17" s="16" t="s">
        <v>33</v>
      </c>
    </row>
    <row r="18" spans="1:6" ht="33" customHeight="1">
      <c r="A18" s="16" t="s">
        <v>39</v>
      </c>
      <c r="B18" s="16" t="s">
        <v>27</v>
      </c>
      <c r="C18" s="16" t="s">
        <v>27</v>
      </c>
      <c r="D18" s="16" t="s">
        <v>27</v>
      </c>
      <c r="E18" s="16" t="s">
        <v>28</v>
      </c>
      <c r="F18" s="16" t="s">
        <v>33</v>
      </c>
    </row>
    <row r="19" spans="1:6" ht="32.5" customHeight="1">
      <c r="A19" s="16" t="s">
        <v>37</v>
      </c>
      <c r="B19" s="16" t="s">
        <v>27</v>
      </c>
      <c r="C19" s="16" t="s">
        <v>27</v>
      </c>
      <c r="D19" s="16" t="s">
        <v>27</v>
      </c>
      <c r="E19" s="16" t="s">
        <v>28</v>
      </c>
      <c r="F19" s="16" t="s">
        <v>33</v>
      </c>
    </row>
    <row r="20" spans="1:6" ht="33" customHeight="1">
      <c r="A20" s="16" t="s">
        <v>38</v>
      </c>
      <c r="B20" s="16" t="s">
        <v>27</v>
      </c>
      <c r="C20" s="16" t="s">
        <v>27</v>
      </c>
      <c r="D20" s="16" t="s">
        <v>27</v>
      </c>
      <c r="E20" s="16" t="s">
        <v>28</v>
      </c>
      <c r="F20" s="16" t="s">
        <v>33</v>
      </c>
    </row>
    <row r="21" spans="1:6" ht="16.5">
      <c r="A21" s="16" t="s">
        <v>40</v>
      </c>
      <c r="B21" s="16" t="s">
        <v>27</v>
      </c>
      <c r="C21" s="16" t="s">
        <v>27</v>
      </c>
      <c r="D21" s="16" t="s">
        <v>27</v>
      </c>
      <c r="E21" s="16" t="s">
        <v>28</v>
      </c>
      <c r="F21" s="16" t="s">
        <v>29</v>
      </c>
    </row>
    <row r="22" spans="1:6" ht="16.5">
      <c r="A22" s="16" t="s">
        <v>41</v>
      </c>
      <c r="B22" s="16" t="s">
        <v>27</v>
      </c>
      <c r="C22" s="16" t="s">
        <v>27</v>
      </c>
      <c r="D22" s="16" t="s">
        <v>27</v>
      </c>
      <c r="E22" s="16" t="s">
        <v>28</v>
      </c>
      <c r="F22" s="16" t="s">
        <v>29</v>
      </c>
    </row>
    <row r="23" spans="1:6" ht="16.5">
      <c r="A23" s="16" t="s">
        <v>42</v>
      </c>
      <c r="B23" s="16" t="s">
        <v>27</v>
      </c>
      <c r="C23" s="16" t="s">
        <v>27</v>
      </c>
      <c r="D23" s="16" t="s">
        <v>27</v>
      </c>
      <c r="E23" s="16" t="s">
        <v>28</v>
      </c>
      <c r="F23" s="16" t="s">
        <v>29</v>
      </c>
    </row>
    <row r="24" spans="1:6" ht="16.5">
      <c r="A24" s="16" t="s">
        <v>43</v>
      </c>
      <c r="B24" s="16" t="s">
        <v>26</v>
      </c>
      <c r="C24" s="16" t="s">
        <v>26</v>
      </c>
      <c r="D24" s="16" t="s">
        <v>27</v>
      </c>
      <c r="E24" s="16" t="s">
        <v>28</v>
      </c>
      <c r="F24" s="16" t="s">
        <v>33</v>
      </c>
    </row>
    <row r="25" spans="1:6" ht="16.5">
      <c r="A25" s="16" t="s">
        <v>44</v>
      </c>
      <c r="B25" s="16" t="s">
        <v>27</v>
      </c>
      <c r="C25" s="16" t="s">
        <v>27</v>
      </c>
      <c r="D25" s="16" t="s">
        <v>27</v>
      </c>
      <c r="E25" s="16" t="s">
        <v>28</v>
      </c>
      <c r="F25" s="16" t="s">
        <v>33</v>
      </c>
    </row>
    <row r="26" spans="1:6" ht="16.5">
      <c r="A26" s="16" t="s">
        <v>45</v>
      </c>
      <c r="B26" s="16" t="s">
        <v>27</v>
      </c>
      <c r="C26" s="16" t="s">
        <v>27</v>
      </c>
      <c r="D26" s="16" t="s">
        <v>27</v>
      </c>
      <c r="E26" s="16" t="s">
        <v>28</v>
      </c>
      <c r="F26" s="16" t="s">
        <v>33</v>
      </c>
    </row>
    <row r="27" spans="1:6" ht="16.5">
      <c r="A27" s="16" t="s">
        <v>46</v>
      </c>
      <c r="B27" s="16" t="s">
        <v>27</v>
      </c>
      <c r="C27" s="16" t="s">
        <v>26</v>
      </c>
      <c r="D27" s="16" t="s">
        <v>27</v>
      </c>
      <c r="E27" s="16" t="s">
        <v>28</v>
      </c>
      <c r="F27" s="16" t="s">
        <v>33</v>
      </c>
    </row>
  </sheetData>
  <mergeCells count="4">
    <mergeCell ref="A1:G1"/>
    <mergeCell ref="A2:G2"/>
    <mergeCell ref="A3:G3"/>
    <mergeCell ref="I1:J1"/>
  </mergeCells>
  <phoneticPr fontId="9" type="noConversion"/>
  <dataValidations count="2">
    <dataValidation type="list" sqref="B5:D5" xr:uid="{00000000-0002-0000-0000-000000000000}">
      <formula1>"是,否"</formula1>
    </dataValidation>
    <dataValidation type="list" sqref="E5" xr:uid="{00000000-0002-0000-0000-000001000000}">
      <formula1>"通过,待补充,待复审"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Paper 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逸川 徐</cp:lastModifiedBy>
  <dcterms:modified xsi:type="dcterms:W3CDTF">2026-04-02T08:42:20Z</dcterms:modified>
</cp:coreProperties>
</file>