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a8b8b5111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a5861db3abb463c"/>
    <x:sheet xmlns:r="http://schemas.openxmlformats.org/officeDocument/2006/relationships" name="01_PAPERS" sheetId="2" r:id="Rff41bd6758dd458c"/>
    <x:sheet xmlns:r="http://schemas.openxmlformats.org/officeDocument/2006/relationships" name="02_CASES" sheetId="3" r:id="R768afe44031a4b3b"/>
    <x:sheet xmlns:r="http://schemas.openxmlformats.org/officeDocument/2006/relationships" name="03_PROFILES" sheetId="4" r:id="R70589342e19b44e1"/>
    <x:sheet xmlns:r="http://schemas.openxmlformats.org/officeDocument/2006/relationships" name="04_QA_LOG" sheetId="5" r:id="R925975468f604834"/>
    <x:sheet xmlns:r="http://schemas.openxmlformats.org/officeDocument/2006/relationships" name="05_PROCESSING_LOG" sheetId="6" r:id="R3f372f93d16c4182"/>
    <x:sheet xmlns:r="http://schemas.openxmlformats.org/officeDocument/2006/relationships" name="LOOKUPS" sheetId="7" r:id="R1aa37ed63eda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333333"/>
      <x:name val="Carlito"/>
    </x:font>
    <x:font>
      <x:b/>
      <x:sz val="11"/>
      <x:color rgb="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8"/>
      </x:patternFill>
    </x:fill>
    <x:fill>
      <x:patternFill patternType="solid">
        <x:fgColor theme="4" tint="0.35"/>
      </x:patternFill>
    </x:fill>
  </x:fills>
  <x:borders count="3">
    <x:border/>
    <x:border>
      <x:left style="thin">
        <x:color rgb="D0D7DE"/>
      </x:left>
      <x:right style="thin">
        <x:color rgb="D0D7DE"/>
      </x:right>
      <x:top style="thin">
        <x:color rgb="D0D7DE"/>
      </x:top>
      <x:bottom style="thin">
        <x:color rgb="D0D7DE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FADCCC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3a22774434cfb" /><Relationship Type="http://schemas.openxmlformats.org/officeDocument/2006/relationships/theme" Target="/xl/theme/theme1.xml" Id="Rfd3009756e7240f0" /><Relationship Type="http://schemas.openxmlformats.org/officeDocument/2006/relationships/sharedStrings" Target="/xl/sharedStrings.xml" Id="Rfcb28e7c976f49d8" /><Relationship Type="http://schemas.openxmlformats.org/officeDocument/2006/relationships/worksheet" Target="/xl/worksheets/sheet1.xml" Id="Rca5861db3abb463c" /><Relationship Type="http://schemas.openxmlformats.org/officeDocument/2006/relationships/worksheet" Target="/xl/worksheets/sheet2.xml" Id="Rff41bd6758dd458c" /><Relationship Type="http://schemas.openxmlformats.org/officeDocument/2006/relationships/worksheet" Target="/xl/worksheets/sheet3.xml" Id="R768afe44031a4b3b" /><Relationship Type="http://schemas.openxmlformats.org/officeDocument/2006/relationships/worksheet" Target="/xl/worksheets/sheet4.xml" Id="R70589342e19b44e1" /><Relationship Type="http://schemas.openxmlformats.org/officeDocument/2006/relationships/worksheet" Target="/xl/worksheets/sheet5.xml" Id="R925975468f604834" /><Relationship Type="http://schemas.openxmlformats.org/officeDocument/2006/relationships/worksheet" Target="/xl/worksheets/sheet6.xml" Id="R3f372f93d16c4182" /><Relationship Type="http://schemas.openxmlformats.org/officeDocument/2006/relationships/worksheet" Target="/xl/worksheets/sheet7.xml" Id="R1aa37ed63eda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3" hidden="0" customWidth="1"/>
    <x:col min="4" max="4" width="15" hidden="0" customWidth="1"/>
    <x:col min="5" max="5" width="10" hidden="0" customWidth="1"/>
    <x:col min="6" max="6" width="3" hidden="0" customWidth="1"/>
    <x:col min="7" max="7" width="20" hidden="0" customWidth="1"/>
    <x:col min="8" max="8" width="10" hidden="0" customWidth="1"/>
    <x:col min="9" max="9" width="3" hidden="0" customWidth="1"/>
  </x:cols>
  <x:sheetData>
    <x:row r="1" ht="24" customHeight="1">
      <x:c r="A1" s="4" t="str">
        <x:v>Dashboard / 概览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7" t="str">
        <x:v>自动统计本工作簿中的论文、NT 工况、剖面、QA 和额外处理记录。</x:v>
      </x:c>
      <x:c r="B2" s="7"/>
      <x:c r="C2" s="7"/>
      <x:c r="D2" s="7"/>
      <x:c r="E2" s="7"/>
      <x:c r="F2" s="7"/>
      <x:c r="G2" s="7"/>
      <x:c r="H2" s="7"/>
      <x:c r="I2" s="7"/>
    </x:row>
    <x:row r="4" ht="28" customHeight="1">
      <x:c r="A4" s="13" t="str">
        <x:v>指标</x:v>
      </x:c>
      <x:c r="B4" s="13" t="str">
        <x:v>数量</x:v>
      </x:c>
      <x:c r="C4" s="13" t="str"/>
      <x:c r="D4" s="13" t="str">
        <x:v>Profile status</x:v>
      </x:c>
      <x:c r="E4" s="13" t="str">
        <x:v>Count</x:v>
      </x:c>
      <x:c r="F4" s="13" t="str"/>
      <x:c r="G4" s="13" t="str">
        <x:v>Processing decision</x:v>
      </x:c>
      <x:c r="H4" s="13" t="str">
        <x:v>Count</x:v>
      </x:c>
      <x:c r="I4" s="13" t="str"/>
    </x:row>
    <x:row r="5" ht="22" customHeight="1">
      <x:c r="A5" s="16" t="str">
        <x:v>主库论文数</x:v>
      </x:c>
      <x:c r="B5" s="17" t="n">
        <x:f>COUNTA('01_PAPERS'!A5:A500)</x:f>
        <x:v>1</x:v>
      </x:c>
      <x:c r="C5" s="16" t="str"/>
      <x:c r="D5" s="16" t="str">
        <x:v>planned</x:v>
      </x:c>
      <x:c r="E5" s="17" t="n">
        <x:f>COUNTIF('03_PROFILES'!O5:O500,"planned")</x:f>
        <x:v>18</x:v>
      </x:c>
      <x:c r="F5" s="16" t="str"/>
      <x:c r="G5" s="16" t="str">
        <x:v>accept</x:v>
      </x:c>
      <x:c r="H5" s="17" t="n">
        <x:f>COUNTIF('05_PROCESSING_LOG'!L5:L500,"accept")</x:f>
        <x:v>1</x:v>
      </x:c>
      <x:c r="I5" s="16" t="str"/>
    </x:row>
    <x:row r="6" ht="22" customHeight="1">
      <x:c r="A6" s="16" t="str">
        <x:v>NT工况数</x:v>
      </x:c>
      <x:c r="B6" s="17" t="n">
        <x:f>COUNTA('02_CASES'!A5:A500)</x:f>
        <x:v>4</x:v>
      </x:c>
      <x:c r="C6" s="16" t="str"/>
      <x:c r="D6" s="16" t="str">
        <x:v>digitized</x:v>
      </x:c>
      <x:c r="E6" s="17" t="n">
        <x:f>COUNTIF('03_PROFILES'!O5:O500,"digitized")</x:f>
        <x:v>0</x:v>
      </x:c>
      <x:c r="F6" s="16" t="str"/>
      <x:c r="G6" s="16" t="str">
        <x:v>review</x:v>
      </x:c>
      <x:c r="H6" s="17" t="n">
        <x:f>COUNTIF('05_PROCESSING_LOG'!L5:L500,"review")</x:f>
        <x:v>0</x:v>
      </x:c>
      <x:c r="I6" s="16" t="str"/>
    </x:row>
    <x:row r="7" ht="22" customHeight="1">
      <x:c r="A7" s="16" t="str">
        <x:v>剖面数</x:v>
      </x:c>
      <x:c r="B7" s="17" t="n">
        <x:f>COUNTA('03_PROFILES'!A5:A500)</x:f>
        <x:v>18</x:v>
      </x:c>
      <x:c r="C7" s="16" t="str"/>
      <x:c r="D7" s="16" t="str">
        <x:v>imported</x:v>
      </x:c>
      <x:c r="E7" s="17" t="n">
        <x:f>COUNTIF('03_PROFILES'!O5:O500,"imported")</x:f>
        <x:v>0</x:v>
      </x:c>
      <x:c r="F7" s="16" t="str"/>
      <x:c r="G7" s="16" t="str">
        <x:v>reject</x:v>
      </x:c>
      <x:c r="H7" s="17" t="n">
        <x:f>COUNTIF('05_PROCESSING_LOG'!L5:L500,"reject")</x:f>
        <x:v>0</x:v>
      </x:c>
      <x:c r="I7" s="16" t="str"/>
    </x:row>
    <x:row r="8" ht="22" customHeight="1">
      <x:c r="A8" s="16" t="str">
        <x:v>QA记录数</x:v>
      </x:c>
      <x:c r="B8" s="17" t="n">
        <x:f>COUNTA('04_QA_LOG'!A5:A500)</x:f>
        <x:v>0</x:v>
      </x:c>
      <x:c r="C8" s="16" t="str"/>
      <x:c r="D8" s="16" t="str">
        <x:v>qa_passed</x:v>
      </x:c>
      <x:c r="E8" s="17" t="n">
        <x:f>COUNTIF('03_PROFILES'!O5:O500,"qa_passed")</x:f>
        <x:v>0</x:v>
      </x:c>
      <x:c r="F8" s="16" t="str"/>
      <x:c r="G8" s="16" t="str">
        <x:v>processing_log_only</x:v>
      </x:c>
      <x:c r="H8" s="17" t="n">
        <x:f>COUNTIF('05_PROCESSING_LOG'!L5:L500,"processing_log_only")</x:f>
        <x:v>0</x:v>
      </x:c>
      <x:c r="I8" s="16" t="str"/>
    </x:row>
    <x:row r="9" ht="22" customHeight="1">
      <x:c r="A9" s="16" t="str">
        <x:v>额外处理记录数</x:v>
      </x:c>
      <x:c r="B9" s="17" t="n">
        <x:f>COUNTA('05_PROCESSING_LOG'!A5:A500)</x:f>
        <x:v>1</x:v>
      </x:c>
      <x:c r="C9" s="16" t="str"/>
      <x:c r="D9" s="16" t="str">
        <x:v>rejected</x:v>
      </x:c>
      <x:c r="E9" s="17" t="n">
        <x:f>COUNTIF('03_PROFILES'!O5:O500,"rejected")</x:f>
        <x:v>0</x:v>
      </x:c>
      <x:c r="F9" s="16" t="str"/>
      <x:c r="G9" s="16" t="str"/>
      <x:c r="H9" s="17" t="str"/>
      <x:c r="I9" s="16" t="str"/>
    </x:row>
    <x:row r="10" ht="22" customHeight="1">
      <x:c r="A10" s="16" t="str">
        <x:v>候选 CSV 路径数</x:v>
      </x:c>
      <x:c r="B10" s="17" t="n">
        <x:f>COUNTA('03_PROFILES'!N5:N500)</x:f>
        <x:v>18</x:v>
      </x:c>
      <x:c r="C10" s="16" t="str"/>
      <x:c r="D10" s="16" t="str"/>
      <x:c r="E10" s="17" t="str"/>
      <x:c r="F10" s="16" t="str"/>
      <x:c r="G10" s="16" t="str"/>
      <x:c r="H10" s="17" t="str"/>
      <x:c r="I10" s="16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2" hidden="0" customWidth="1"/>
    <x:col min="4" max="4" width="8" hidden="0" customWidth="1"/>
    <x:col min="5" max="5" width="11" hidden="0" customWidth="1"/>
    <x:col min="6" max="6" width="22" hidden="0" customWidth="1"/>
    <x:col min="7" max="7" width="10" hidden="0" customWidth="1"/>
    <x:col min="8" max="8" width="18" hidden="0" customWidth="1"/>
    <x:col min="9" max="9" width="24" hidden="0" customWidth="1"/>
    <x:col min="10" max="10" width="13" hidden="0" customWidth="1"/>
    <x:col min="11" max="11" width="10" hidden="0" customWidth="1"/>
    <x:col min="12" max="12" width="12" hidden="0" customWidth="1"/>
    <x:col min="13" max="13" width="14" hidden="0" customWidth="1"/>
    <x:col min="14" max="14" width="15" hidden="0" customWidth="1"/>
    <x:col min="15" max="15" width="16" hidden="0" customWidth="1"/>
    <x:col min="16" max="16" width="54" hidden="0" customWidth="1"/>
    <x:col min="17" max="17" width="32" hidden="0" customWidth="1"/>
  </x:cols>
  <x:sheetData>
    <x:row r="1" ht="24" customHeight="1">
      <x:c r="A1" s="4" t="str">
        <x:v>01_PAPERS / 论文登记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7" t="str">
        <x:v>仅保留符合当前 NT-only 范围的论文元数据。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8" customHeight="1">
      <x:c r="A4" s="13" t="str">
        <x:v>paper_id</x:v>
      </x:c>
      <x:c r="B4" s="13" t="str">
        <x:v>title</x:v>
      </x:c>
      <x:c r="C4" s="13" t="str">
        <x:v>first_author</x:v>
      </x:c>
      <x:c r="D4" s="13" t="str">
        <x:v>year</x:v>
      </x:c>
      <x:c r="E4" s="13" t="str">
        <x:v>journal_abbr</x:v>
      </x:c>
      <x:c r="F4" s="13" t="str">
        <x:v>journal_full</x:v>
      </x:c>
      <x:c r="G4" s="13" t="str">
        <x:v>facility</x:v>
      </x:c>
      <x:c r="H4" s="13" t="str">
        <x:v>doi</x:v>
      </x:c>
      <x:c r="I4" s="13" t="str">
        <x:v>url</x:v>
      </x:c>
      <x:c r="J4" s="13" t="str">
        <x:v>paper_type</x:v>
      </x:c>
      <x:c r="K4" s="13" t="str">
        <x:v>nt_related</x:v>
      </x:c>
      <x:c r="L4" s="13" t="str">
        <x:v>includes_pt_comparison</x:v>
      </x:c>
      <x:c r="M4" s="13" t="str">
        <x:v>has_experimental_profiles</x:v>
      </x:c>
      <x:c r="N4" s="13" t="str">
        <x:v>has_simulation_or_theory</x:v>
      </x:c>
      <x:c r="O4" s="13" t="str">
        <x:v>screening_decision</x:v>
      </x:c>
      <x:c r="P4" s="13" t="str">
        <x:v>notes</x:v>
      </x:c>
      <x:c r="Q4" s="13" t="str">
        <x:v>source_file</x:v>
      </x:c>
    </x:row>
    <x:row r="5">
      <x:c r="A5" s="16" t="str">
        <x:v>Yu_DIIID_PoP_2023</x:v>
      </x:c>
      <x:c r="B5" s="16" t="str">
        <x:v>Understanding the negative triangularity ELM trigger and ELM free state on DIII-D with ECE-imaging</x:v>
      </x:c>
      <x:c r="C5" s="16" t="str">
        <x:v>Yu</x:v>
      </x:c>
      <x:c r="D5" s="18" t="n">
        <x:v>2023</x:v>
      </x:c>
      <x:c r="E5" s="18" t="str">
        <x:v>PoP</x:v>
      </x:c>
      <x:c r="F5" s="18" t="str">
        <x:v>Physics of Plasmas</x:v>
      </x:c>
      <x:c r="G5" s="18" t="str">
        <x:v>DIII-D</x:v>
      </x:c>
      <x:c r="H5" s="18" t="str">
        <x:v>10.1063/5.0144711</x:v>
      </x:c>
      <x:c r="I5" s="18" t="str">
        <x:v>https://doi.org/10.1063/5.0144711</x:v>
      </x:c>
      <x:c r="J5" s="18" t="str">
        <x:v>experimental</x:v>
      </x:c>
      <x:c r="K5" s="18" t="str">
        <x:v>Yes</x:v>
      </x:c>
      <x:c r="L5" s="18" t="str">
        <x:v>No</x:v>
      </x:c>
      <x:c r="M5" s="18" t="str">
        <x:v>Yes</x:v>
      </x:c>
      <x:c r="N5" s="18" t="str">
        <x:v>Yes</x:v>
      </x:c>
      <x:c r="O5" s="18" t="str">
        <x:v>accept</x:v>
      </x:c>
      <x:c r="P5" s="16" t="str">
        <x:v>Accepted into the NT-only main workbook. Kept only NT experimental temperature/density profiles from Fig.3, Fig.7 and Fig.11; excluded pressure plots (Fig.7d-e, Fig.11d-e) and Sec.VI simulation/modeling content from profile extraction.</x:v>
      </x:c>
      <x:c r="Q5" s="16" t="str">
        <x:v>Yu,Understanding the negative triangularity ELM trigger and ELM free state on DIII-D with ECE-imaging,Phys. Plasmas-2023.pdf</x:v>
      </x:c>
    </x:row>
  </x:sheetData>
  <x:mergeCells>
    <x:mergeCell ref="A1:Q1"/>
    <x:mergeCell ref="A2:Q2"/>
  </x:mergeCells>
  <x:dataValidations count="3">
    <x:dataValidation type="list" allowBlank="1" showDropDown="0" sqref="J5:J200">
      <x:formula1>"experimental,theory,simulation,mixed"</x:formula1>
    </x:dataValidation>
    <x:dataValidation type="list" allowBlank="1" showDropDown="0" sqref="K5:N200">
      <x:formula1>"Yes,No"</x:formula1>
    </x:dataValidation>
    <x:dataValidation type="list" allowBlank="1" showDropDown="0" sqref="O5:O200">
      <x:formula1>"accept,review,reject,processing_log_only"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8" hidden="0" customWidth="1"/>
    <x:col min="4" max="4" width="20" hidden="0" customWidth="1"/>
    <x:col min="5" max="5" width="16" hidden="0" customWidth="1"/>
    <x:col min="6" max="6" width="16" hidden="0" customWidth="1"/>
    <x:col min="7" max="7" width="9" hidden="0" customWidth="1"/>
    <x:col min="8" max="8" width="18" hidden="0" customWidth="1"/>
    <x:col min="9" max="9" width="46" hidden="0" customWidth="1"/>
    <x:col min="10" max="10" width="28" hidden="0" customWidth="1"/>
    <x:col min="11" max="11" width="11" hidden="0" customWidth="1"/>
    <x:col min="12" max="12" width="11" hidden="0" customWidth="1"/>
  </x:cols>
  <x:sheetData>
    <x:row r="1" ht="24" customHeight="1">
      <x:c r="A1" s="4" t="str">
        <x:v>02_CASES / NT 工况登记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7" t="str">
        <x:v>每个 case_id 对应一个可区分、可追溯的 NT 工况；regime 固定为 NT。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3" t="str">
        <x:v>case_id</x:v>
      </x:c>
      <x:c r="B4" s="13" t="str">
        <x:v>paper_id</x:v>
      </x:c>
      <x:c r="C4" s="13" t="str">
        <x:v>regime</x:v>
      </x:c>
      <x:c r="D4" s="13" t="str">
        <x:v>case_label</x:v>
      </x:c>
      <x:c r="E4" s="13" t="str">
        <x:v>shot_or_discharge</x:v>
      </x:c>
      <x:c r="F4" s="13" t="str">
        <x:v>figure_refs</x:v>
      </x:c>
      <x:c r="G4" s="13" t="str">
        <x:v>page_refs</x:v>
      </x:c>
      <x:c r="H4" s="13" t="str">
        <x:v>heating_or_condition</x:v>
      </x:c>
      <x:c r="I4" s="13" t="str">
        <x:v>notes</x:v>
      </x:c>
      <x:c r="J4" s="13" t="str">
        <x:v>suggested_case_id</x:v>
      </x:c>
      <x:c r="K4" s="13" t="str">
        <x:v>regime_check</x:v>
      </x:c>
      <x:c r="L4" s="13" t="str">
        <x:v>status</x:v>
      </x:c>
    </x:row>
    <x:row r="5">
      <x:c r="A5" s="16" t="str">
        <x:v>Yu_DIIID_PoP_2023__NT__du02_P2_Hmode</x:v>
      </x:c>
      <x:c r="B5" s="16" t="str">
        <x:v>Yu_DIIID_PoP_2023</x:v>
      </x:c>
      <x:c r="C5" s="18" t="str">
        <x:v>NT</x:v>
      </x:c>
      <x:c r="D5" s="16" t="str">
        <x:v>du=-0.2 | H-mode | 2 MW</x:v>
      </x:c>
      <x:c r="E5" s="16" t="str">
        <x:v>DIII-D#186476</x:v>
      </x:c>
      <x:c r="F5" s="16" t="str">
        <x:v>Fig3a-c</x:v>
      </x:c>
      <x:c r="G5" s="16" t="str">
        <x:v>4</x:v>
      </x:c>
      <x:c r="H5" s="16" t="str">
        <x:v>PNBI=2 MW; t≈1.64 s</x:v>
      </x:c>
      <x:c r="I5" s="16" t="str">
        <x:v>Lower negative triangularity NT discharge; red curves in Fig.3. Experimental Te/ne from Thomson; Ti proxy from carbon CER.</x:v>
      </x:c>
      <x:c r="J5" s="16" t="str">
        <x:v>Yu_DIIID_PoP_2023__NT__du02_P2_Hmode</x:v>
      </x:c>
      <x:c r="K5" s="16" t="str">
        <x:f>IF(C5="NT","OK","INVALID")</x:f>
        <x:v>OK</x:v>
      </x:c>
      <x:c r="L5" s="18" t="str">
        <x:v>planned</x:v>
      </x:c>
    </x:row>
    <x:row r="6">
      <x:c r="A6" s="16" t="str">
        <x:v>Yu_DIIID_PoP_2023__NT__du02_P7_Hmode</x:v>
      </x:c>
      <x:c r="B6" s="16" t="str">
        <x:v>Yu_DIIID_PoP_2023</x:v>
      </x:c>
      <x:c r="C6" s="18" t="str">
        <x:v>NT</x:v>
      </x:c>
      <x:c r="D6" s="16" t="str">
        <x:v>du=-0.2 | H-mode | 7 MW</x:v>
      </x:c>
      <x:c r="E6" s="16" t="str">
        <x:v>DIII-D#186476</x:v>
      </x:c>
      <x:c r="F6" s="16" t="str">
        <x:v>Fig7a-c</x:v>
      </x:c>
      <x:c r="G6" s="16" t="str">
        <x:v>7</x:v>
      </x:c>
      <x:c r="H6" s="16" t="str">
        <x:v>PNBI=7 MW; t≈4.34 s</x:v>
      </x:c>
      <x:c r="I6" s="16" t="str">
        <x:v>Same H-mode NT discharge at higher heating phase; used for profile comparison in Fig.7.</x:v>
      </x:c>
      <x:c r="J6" s="16" t="str">
        <x:v>Yu_DIIID_PoP_2023__NT__du02_P7_Hmode</x:v>
      </x:c>
      <x:c r="K6" s="16" t="str">
        <x:f>IF(C6="NT","OK","INVALID")</x:f>
        <x:v>OK</x:v>
      </x:c>
      <x:c r="L6" s="18" t="str">
        <x:v>planned</x:v>
      </x:c>
    </x:row>
    <x:row r="7">
      <x:c r="A7" s="16" t="str">
        <x:v>Yu_DIIID_PoP_2023__NT__du04_P2_Lmode</x:v>
      </x:c>
      <x:c r="B7" s="16" t="str">
        <x:v>Yu_DIIID_PoP_2023</x:v>
      </x:c>
      <x:c r="C7" s="18" t="str">
        <x:v>NT</x:v>
      </x:c>
      <x:c r="D7" s="16" t="str">
        <x:v>du=-0.4 | L-mode | 2 MW</x:v>
      </x:c>
      <x:c r="E7" s="16" t="str">
        <x:v>DIII-D#186471</x:v>
      </x:c>
      <x:c r="F7" s="16" t="str">
        <x:v>Fig3a-c, Fig11a-c</x:v>
      </x:c>
      <x:c r="G7" s="16" t="str">
        <x:v>4, 9</x:v>
      </x:c>
      <x:c r="H7" s="16" t="str">
        <x:v>PNBI=2 MW; t≈1.64 s</x:v>
      </x:c>
      <x:c r="I7" s="16" t="str">
        <x:v>Higher negative triangularity NT discharge; blue curves in Fig.3 and low-power L-mode curves in Fig.11. Includes dithering-oscillation phase discussion elsewhere in paper.</x:v>
      </x:c>
      <x:c r="J7" s="16" t="str">
        <x:v>Yu_DIIID_PoP_2023__NT__du04_P2_Lmode</x:v>
      </x:c>
      <x:c r="K7" s="16" t="str">
        <x:f>IF(C7="NT","OK","INVALID")</x:f>
        <x:v>OK</x:v>
      </x:c>
      <x:c r="L7" s="18" t="str">
        <x:v>planned</x:v>
      </x:c>
    </x:row>
    <x:row r="8">
      <x:c r="A8" s="16" t="str">
        <x:v>Yu_DIIID_PoP_2023__NT__du04_P9_Lmode</x:v>
      </x:c>
      <x:c r="B8" s="16" t="str">
        <x:v>Yu_DIIID_PoP_2023</x:v>
      </x:c>
      <x:c r="C8" s="18" t="str">
        <x:v>NT</x:v>
      </x:c>
      <x:c r="D8" s="16" t="str">
        <x:v>du=-0.4 | L-mode | 9 MW</x:v>
      </x:c>
      <x:c r="E8" s="16" t="str">
        <x:v>DIII-D#186471</x:v>
      </x:c>
      <x:c r="F8" s="16" t="str">
        <x:v>Fig11a-c</x:v>
      </x:c>
      <x:c r="G8" s="16" t="str">
        <x:v>9</x:v>
      </x:c>
      <x:c r="H8" s="16" t="str">
        <x:v>PNBI=9 MW phase</x:v>
      </x:c>
      <x:c r="I8" s="16" t="str">
        <x:v>Higher-power L-mode comparison case from Fig.11. Exact profile timestamp not explicitly stated in the caption/text.</x:v>
      </x:c>
      <x:c r="J8" s="16" t="str">
        <x:v>Yu_DIIID_PoP_2023__NT__du04_P9_Lmode</x:v>
      </x:c>
      <x:c r="K8" s="16" t="str">
        <x:f>IF(C8="NT","OK","INVALID")</x:f>
        <x:v>OK</x:v>
      </x:c>
      <x:c r="L8" s="18" t="str">
        <x:v>planned</x:v>
      </x:c>
    </x:row>
  </x:sheetData>
  <x:mergeCells>
    <x:mergeCell ref="A1:L1"/>
    <x:mergeCell ref="A2:L2"/>
  </x:mergeCells>
  <x:dataValidations count="2">
    <x:dataValidation type="list" allowBlank="0" showDropDown="0" sqref="C5:C200">
      <x:formula1>"NT"</x:formula1>
    </x:dataValidation>
    <x:dataValidation type="list" allowBlank="1" showDropDown="0" sqref="L5:L200">
      <x:formula1>"planned,digitized,imported,qa_passed,rejected"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8" hidden="0" customWidth="1"/>
    <x:col min="4" max="4" width="10" hidden="0" customWidth="1"/>
    <x:col min="5" max="5" width="8" hidden="0" customWidth="1"/>
    <x:col min="6" max="6" width="18" hidden="0" customWidth="1"/>
    <x:col min="7" max="7" width="10" hidden="0" customWidth="1"/>
    <x:col min="8" max="8" width="28" hidden="0" customWidth="1"/>
    <x:col min="9" max="9" width="10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34" hidden="0" customWidth="1"/>
    <x:col min="15" max="15" width="11" hidden="0" customWidth="1"/>
    <x:col min="16" max="16" width="54" hidden="0" customWidth="1"/>
    <x:col min="17" max="17" width="16" hidden="0" customWidth="1"/>
    <x:col min="18" max="18" width="12" hidden="0" customWidth="1"/>
    <x:col min="19" max="19" width="32" hidden="0" customWidth="1"/>
  </x:cols>
  <x:sheetData>
    <x:row r="1" ht="24" customHeight="1">
      <x:c r="A1" s="4" t="str">
        <x:v>03_PROFILES / 剖面元数据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8" customHeight="1">
      <x:c r="A2" s="7" t="str">
        <x:v>只登记 NT + experimental + 温度/密度剖面；每条曲线一行。当前工作簿仅生成元数据与候选 CSV 路径，未自动完成点数据 digitize。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28" customHeight="1">
      <x:c r="A4" s="13" t="str">
        <x:v>profile_id</x:v>
      </x:c>
      <x:c r="B4" s="13" t="str">
        <x:v>paper_id</x:v>
      </x:c>
      <x:c r="C4" s="13" t="str">
        <x:v>case_id</x:v>
      </x:c>
      <x:c r="D4" s="13" t="str">
        <x:v>fig_id</x:v>
      </x:c>
      <x:c r="E4" s="13" t="str">
        <x:v>variable</x:v>
      </x:c>
      <x:c r="F4" s="13" t="str">
        <x:v>legend_label</x:v>
      </x:c>
      <x:c r="G4" s="13" t="str">
        <x:v>coord_name</x:v>
      </x:c>
      <x:c r="H4" s="13" t="str">
        <x:v>coord_desc</x:v>
      </x:c>
      <x:c r="I4" s="13" t="str">
        <x:v>x_unit_raw</x:v>
      </x:c>
      <x:c r="J4" s="13" t="str">
        <x:v>y_unit_raw</x:v>
      </x:c>
      <x:c r="K4" s="13" t="str">
        <x:v>y_unit_SI</x:v>
      </x:c>
      <x:c r="L4" s="13" t="str">
        <x:v>data_origin</x:v>
      </x:c>
      <x:c r="M4" s="13" t="str">
        <x:v>extraction_method</x:v>
      </x:c>
      <x:c r="N4" s="13" t="str">
        <x:v>csv_path</x:v>
      </x:c>
      <x:c r="O4" s="13" t="str">
        <x:v>status</x:v>
      </x:c>
      <x:c r="P4" s="13" t="str">
        <x:v>notes</x:v>
      </x:c>
      <x:c r="Q4" s="13" t="str">
        <x:v>required_fields_check</x:v>
      </x:c>
      <x:c r="R4" s="13" t="str">
        <x:v>scope_check</x:v>
      </x:c>
      <x:c r="S4" s="13" t="str">
        <x:v>suggested_profile_id</x:v>
      </x:c>
    </x:row>
    <x:row r="5">
      <x:c r="A5" s="16" t="str">
        <x:v>Yu_DIIID_PoP_2023__Fig3a__Te__du02_Hmode</x:v>
      </x:c>
      <x:c r="B5" s="16" t="str">
        <x:v>Yu_DIIID_PoP_2023</x:v>
      </x:c>
      <x:c r="C5" s="16" t="str">
        <x:v>Yu_DIIID_PoP_2023__NT__du02_P2_Hmode</x:v>
      </x:c>
      <x:c r="D5" s="16" t="str">
        <x:v>Fig3a</x:v>
      </x:c>
      <x:c r="E5" s="18" t="str">
        <x:v>Te</x:v>
      </x:c>
      <x:c r="F5" s="18" t="str">
        <x:v>δu=-0.2, H-mode</x:v>
      </x:c>
      <x:c r="G5" s="18" t="str">
        <x:v>psi_N</x:v>
      </x:c>
      <x:c r="H5" s="18" t="str">
        <x:v>Normalized poloidal flux ψ_N from the profile x-axis.</x:v>
      </x:c>
      <x:c r="I5" s="18" t="str">
        <x:v>ψ_N</x:v>
      </x:c>
      <x:c r="J5" s="18" t="str">
        <x:v>10^3 eV</x:v>
      </x:c>
      <x:c r="K5" s="18" t="str">
        <x:v>eV</x:v>
      </x:c>
      <x:c r="L5" s="16" t="str">
        <x:v>experimental</x:v>
      </x:c>
      <x:c r="M5" s="16" t="str">
        <x:v>manual_digitize</x:v>
      </x:c>
      <x:c r="N5" s="16" t="str">
        <x:v>data/Yu_DIIID_PoP_2023/Yu_DIIID_PoP_2023__Fig3a__Te__du02_Hmode.csv</x:v>
      </x:c>
      <x:c r="O5" s="18" t="str">
        <x:v>planned</x:v>
      </x:c>
      <x:c r="P5" s="18" t="str">
        <x:v>Page 4. Thomson Scattering curve at PNBI=2 MW and t≈1.64 s.</x:v>
      </x:c>
      <x:c r="Q5" s="18" t="str">
        <x:f>IF(COUNTA(A5,B5,C5,D5,E5,G5,H5,J5,K5,L5,M5,O5)=12,"OK","MISSING")</x:f>
        <x:v>OK</x:v>
      </x:c>
      <x:c r="R5" s="18" t="str">
        <x:f>IF(AND(L5="experimental",OR(E5="ne",E5="Te",E5="Ti",E5="ni",E5="n_imp",E5="T_imp")),"OK","CHECK")</x:f>
        <x:v>OK</x:v>
      </x:c>
      <x:c r="S5" s="16" t="str">
        <x:v>Yu_DIIID_PoP_2023__Fig3a__Te__du02_Hmode</x:v>
      </x:c>
    </x:row>
    <x:row r="6">
      <x:c r="A6" s="16" t="str">
        <x:v>Yu_DIIID_PoP_2023__Fig3a__Te__du04_Lmode</x:v>
      </x:c>
      <x:c r="B6" s="16" t="str">
        <x:v>Yu_DIIID_PoP_2023</x:v>
      </x:c>
      <x:c r="C6" s="16" t="str">
        <x:v>Yu_DIIID_PoP_2023__NT__du04_P2_Lmode</x:v>
      </x:c>
      <x:c r="D6" s="16" t="str">
        <x:v>Fig3a</x:v>
      </x:c>
      <x:c r="E6" s="18" t="str">
        <x:v>Te</x:v>
      </x:c>
      <x:c r="F6" s="18" t="str">
        <x:v>δu=-0.4, L-mode</x:v>
      </x:c>
      <x:c r="G6" s="18" t="str">
        <x:v>psi_N</x:v>
      </x:c>
      <x:c r="H6" s="18" t="str">
        <x:v>Normalized poloidal flux ψ_N from the profile x-axis.</x:v>
      </x:c>
      <x:c r="I6" s="18" t="str">
        <x:v>ψ_N</x:v>
      </x:c>
      <x:c r="J6" s="18" t="str">
        <x:v>10^3 eV</x:v>
      </x:c>
      <x:c r="K6" s="18" t="str">
        <x:v>eV</x:v>
      </x:c>
      <x:c r="L6" s="16" t="str">
        <x:v>experimental</x:v>
      </x:c>
      <x:c r="M6" s="16" t="str">
        <x:v>manual_digitize</x:v>
      </x:c>
      <x:c r="N6" s="16" t="str">
        <x:v>data/Yu_DIIID_PoP_2023/Yu_DIIID_PoP_2023__Fig3a__Te__du04_Lmode.csv</x:v>
      </x:c>
      <x:c r="O6" s="18" t="str">
        <x:v>planned</x:v>
      </x:c>
      <x:c r="P6" s="18" t="str">
        <x:v>Page 4. Thomson Scattering curve at PNBI=2 MW and t≈1.64 s.</x:v>
      </x:c>
      <x:c r="Q6" s="18" t="str">
        <x:f>IF(COUNTA(A6,B6,C6,D6,E6,G6,H6,J6,K6,L6,M6,O6)=12,"OK","MISSING")</x:f>
        <x:v>OK</x:v>
      </x:c>
      <x:c r="R6" s="18" t="str">
        <x:f>IF(AND(L6="experimental",OR(E6="ne",E6="Te",E6="Ti",E6="ni",E6="n_imp",E6="T_imp")),"OK","CHECK")</x:f>
        <x:v>OK</x:v>
      </x:c>
      <x:c r="S6" s="16" t="str">
        <x:v>Yu_DIIID_PoP_2023__Fig3a__Te__du04_Lmode</x:v>
      </x:c>
    </x:row>
    <x:row r="7">
      <x:c r="A7" s="16" t="str">
        <x:v>Yu_DIIID_PoP_2023__Fig3b__Ti__du02_Hmode</x:v>
      </x:c>
      <x:c r="B7" s="16" t="str">
        <x:v>Yu_DIIID_PoP_2023</x:v>
      </x:c>
      <x:c r="C7" s="16" t="str">
        <x:v>Yu_DIIID_PoP_2023__NT__du02_P2_Hmode</x:v>
      </x:c>
      <x:c r="D7" s="16" t="str">
        <x:v>Fig3b</x:v>
      </x:c>
      <x:c r="E7" s="18" t="str">
        <x:v>Ti</x:v>
      </x:c>
      <x:c r="F7" s="18" t="str">
        <x:v>δu=-0.2, H-mode</x:v>
      </x:c>
      <x:c r="G7" s="18" t="str">
        <x:v>psi_N</x:v>
      </x:c>
      <x:c r="H7" s="18" t="str">
        <x:v>Normalized poloidal flux ψ_N from the profile x-axis.</x:v>
      </x:c>
      <x:c r="I7" s="18" t="str">
        <x:v>ψ_N</x:v>
      </x:c>
      <x:c r="J7" s="18" t="str">
        <x:v>10^3 eV</x:v>
      </x:c>
      <x:c r="K7" s="18" t="str">
        <x:v>eV</x:v>
      </x:c>
      <x:c r="L7" s="16" t="str">
        <x:v>experimental</x:v>
      </x:c>
      <x:c r="M7" s="16" t="str">
        <x:v>manual_digitize</x:v>
      </x:c>
      <x:c r="N7" s="16" t="str">
        <x:v>data/Yu_DIIID_PoP_2023/Yu_DIIID_PoP_2023__Fig3b__Ti__du02_Hmode.csv</x:v>
      </x:c>
      <x:c r="O7" s="18" t="str">
        <x:v>planned</x:v>
      </x:c>
      <x:c r="P7" s="18" t="str">
        <x:v>Page 4. Carbon CER temperature used as Ti proxy at PNBI=2 MW and t≈1.64 s.</x:v>
      </x:c>
      <x:c r="Q7" s="18" t="str">
        <x:f>IF(COUNTA(A7,B7,C7,D7,E7,G7,H7,J7,K7,L7,M7,O7)=12,"OK","MISSING")</x:f>
        <x:v>OK</x:v>
      </x:c>
      <x:c r="R7" s="18" t="str">
        <x:f>IF(AND(L7="experimental",OR(E7="ne",E7="Te",E7="Ti",E7="ni",E7="n_imp",E7="T_imp")),"OK","CHECK")</x:f>
        <x:v>OK</x:v>
      </x:c>
      <x:c r="S7" s="16" t="str">
        <x:v>Yu_DIIID_PoP_2023__Fig3b__Ti__du02_Hmode</x:v>
      </x:c>
    </x:row>
    <x:row r="8">
      <x:c r="A8" s="16" t="str">
        <x:v>Yu_DIIID_PoP_2023__Fig3b__Ti__du04_Lmode</x:v>
      </x:c>
      <x:c r="B8" s="16" t="str">
        <x:v>Yu_DIIID_PoP_2023</x:v>
      </x:c>
      <x:c r="C8" s="16" t="str">
        <x:v>Yu_DIIID_PoP_2023__NT__du04_P2_Lmode</x:v>
      </x:c>
      <x:c r="D8" s="16" t="str">
        <x:v>Fig3b</x:v>
      </x:c>
      <x:c r="E8" s="18" t="str">
        <x:v>Ti</x:v>
      </x:c>
      <x:c r="F8" s="18" t="str">
        <x:v>δu=-0.4, L-mode</x:v>
      </x:c>
      <x:c r="G8" s="18" t="str">
        <x:v>psi_N</x:v>
      </x:c>
      <x:c r="H8" s="18" t="str">
        <x:v>Normalized poloidal flux ψ_N from the profile x-axis.</x:v>
      </x:c>
      <x:c r="I8" s="18" t="str">
        <x:v>ψ_N</x:v>
      </x:c>
      <x:c r="J8" s="18" t="str">
        <x:v>10^3 eV</x:v>
      </x:c>
      <x:c r="K8" s="18" t="str">
        <x:v>eV</x:v>
      </x:c>
      <x:c r="L8" s="16" t="str">
        <x:v>experimental</x:v>
      </x:c>
      <x:c r="M8" s="16" t="str">
        <x:v>manual_digitize</x:v>
      </x:c>
      <x:c r="N8" s="16" t="str">
        <x:v>data/Yu_DIIID_PoP_2023/Yu_DIIID_PoP_2023__Fig3b__Ti__du04_Lmode.csv</x:v>
      </x:c>
      <x:c r="O8" s="18" t="str">
        <x:v>planned</x:v>
      </x:c>
      <x:c r="P8" s="18" t="str">
        <x:v>Page 4. Carbon CER temperature used as Ti proxy at PNBI=2 MW and t≈1.64 s.</x:v>
      </x:c>
      <x:c r="Q8" s="18" t="str">
        <x:f>IF(COUNTA(A8,B8,C8,D8,E8,G8,H8,J8,K8,L8,M8,O8)=12,"OK","MISSING")</x:f>
        <x:v>OK</x:v>
      </x:c>
      <x:c r="R8" s="18" t="str">
        <x:f>IF(AND(L8="experimental",OR(E8="ne",E8="Te",E8="Ti",E8="ni",E8="n_imp",E8="T_imp")),"OK","CHECK")</x:f>
        <x:v>OK</x:v>
      </x:c>
      <x:c r="S8" s="16" t="str">
        <x:v>Yu_DIIID_PoP_2023__Fig3b__Ti__du04_Lmode</x:v>
      </x:c>
    </x:row>
    <x:row r="9">
      <x:c r="A9" s="16" t="str">
        <x:v>Yu_DIIID_PoP_2023__Fig3c__ne__du02_Hmode</x:v>
      </x:c>
      <x:c r="B9" s="16" t="str">
        <x:v>Yu_DIIID_PoP_2023</x:v>
      </x:c>
      <x:c r="C9" s="16" t="str">
        <x:v>Yu_DIIID_PoP_2023__NT__du02_P2_Hmode</x:v>
      </x:c>
      <x:c r="D9" s="16" t="str">
        <x:v>Fig3c</x:v>
      </x:c>
      <x:c r="E9" s="18" t="str">
        <x:v>ne</x:v>
      </x:c>
      <x:c r="F9" s="18" t="str">
        <x:v>δu=-0.2, H-mode</x:v>
      </x:c>
      <x:c r="G9" s="18" t="str">
        <x:v>psi_N</x:v>
      </x:c>
      <x:c r="H9" s="18" t="str">
        <x:v>Normalized poloidal flux ψ_N from the profile x-axis.</x:v>
      </x:c>
      <x:c r="I9" s="18" t="str">
        <x:v>ψ_N</x:v>
      </x:c>
      <x:c r="J9" s="18" t="str">
        <x:v>10^19 m^-3</x:v>
      </x:c>
      <x:c r="K9" s="18" t="str">
        <x:v>m^-3</x:v>
      </x:c>
      <x:c r="L9" s="16" t="str">
        <x:v>experimental</x:v>
      </x:c>
      <x:c r="M9" s="16" t="str">
        <x:v>manual_digitize</x:v>
      </x:c>
      <x:c r="N9" s="16" t="str">
        <x:v>data/Yu_DIIID_PoP_2023/Yu_DIIID_PoP_2023__Fig3c__ne__du02_Hmode.csv</x:v>
      </x:c>
      <x:c r="O9" s="18" t="str">
        <x:v>planned</x:v>
      </x:c>
      <x:c r="P9" s="18" t="str">
        <x:v>Page 4. Thomson Scattering curve at PNBI=2 MW and t≈1.64 s.</x:v>
      </x:c>
      <x:c r="Q9" s="18" t="str">
        <x:f>IF(COUNTA(A9,B9,C9,D9,E9,G9,H9,J9,K9,L9,M9,O9)=12,"OK","MISSING")</x:f>
        <x:v>OK</x:v>
      </x:c>
      <x:c r="R9" s="18" t="str">
        <x:f>IF(AND(L9="experimental",OR(E9="ne",E9="Te",E9="Ti",E9="ni",E9="n_imp",E9="T_imp")),"OK","CHECK")</x:f>
        <x:v>OK</x:v>
      </x:c>
      <x:c r="S9" s="16" t="str">
        <x:v>Yu_DIIID_PoP_2023__Fig3c__ne__du02_Hmode</x:v>
      </x:c>
    </x:row>
    <x:row r="10">
      <x:c r="A10" s="16" t="str">
        <x:v>Yu_DIIID_PoP_2023__Fig3c__ne__du04_Lmode</x:v>
      </x:c>
      <x:c r="B10" s="16" t="str">
        <x:v>Yu_DIIID_PoP_2023</x:v>
      </x:c>
      <x:c r="C10" s="16" t="str">
        <x:v>Yu_DIIID_PoP_2023__NT__du04_P2_Lmode</x:v>
      </x:c>
      <x:c r="D10" s="16" t="str">
        <x:v>Fig3c</x:v>
      </x:c>
      <x:c r="E10" s="18" t="str">
        <x:v>ne</x:v>
      </x:c>
      <x:c r="F10" s="18" t="str">
        <x:v>δu=-0.4, L-mode</x:v>
      </x:c>
      <x:c r="G10" s="18" t="str">
        <x:v>psi_N</x:v>
      </x:c>
      <x:c r="H10" s="18" t="str">
        <x:v>Normalized poloidal flux ψ_N from the profile x-axis.</x:v>
      </x:c>
      <x:c r="I10" s="18" t="str">
        <x:v>ψ_N</x:v>
      </x:c>
      <x:c r="J10" s="18" t="str">
        <x:v>10^19 m^-3</x:v>
      </x:c>
      <x:c r="K10" s="18" t="str">
        <x:v>m^-3</x:v>
      </x:c>
      <x:c r="L10" s="16" t="str">
        <x:v>experimental</x:v>
      </x:c>
      <x:c r="M10" s="16" t="str">
        <x:v>manual_digitize</x:v>
      </x:c>
      <x:c r="N10" s="16" t="str">
        <x:v>data/Yu_DIIID_PoP_2023/Yu_DIIID_PoP_2023__Fig3c__ne__du04_Lmode.csv</x:v>
      </x:c>
      <x:c r="O10" s="18" t="str">
        <x:v>planned</x:v>
      </x:c>
      <x:c r="P10" s="18" t="str">
        <x:v>Page 4. Thomson Scattering curve at PNBI=2 MW and t≈1.64 s.</x:v>
      </x:c>
      <x:c r="Q10" s="18" t="str">
        <x:f>IF(COUNTA(A10,B10,C10,D10,E10,G10,H10,J10,K10,L10,M10,O10)=12,"OK","MISSING")</x:f>
        <x:v>OK</x:v>
      </x:c>
      <x:c r="R10" s="18" t="str">
        <x:f>IF(AND(L10="experimental",OR(E10="ne",E10="Te",E10="Ti",E10="ni",E10="n_imp",E10="T_imp")),"OK","CHECK")</x:f>
        <x:v>OK</x:v>
      </x:c>
      <x:c r="S10" s="16" t="str">
        <x:v>Yu_DIIID_PoP_2023__Fig3c__ne__du04_Lmode</x:v>
      </x:c>
    </x:row>
    <x:row r="11">
      <x:c r="A11" s="16" t="str">
        <x:v>Yu_DIIID_PoP_2023__Fig7a__ne__P2MW</x:v>
      </x:c>
      <x:c r="B11" s="16" t="str">
        <x:v>Yu_DIIID_PoP_2023</x:v>
      </x:c>
      <x:c r="C11" s="16" t="str">
        <x:v>Yu_DIIID_PoP_2023__NT__du02_P2_Hmode</x:v>
      </x:c>
      <x:c r="D11" s="16" t="str">
        <x:v>Fig7a</x:v>
      </x:c>
      <x:c r="E11" s="18" t="str">
        <x:v>ne</x:v>
      </x:c>
      <x:c r="F11" s="18" t="str">
        <x:v>PNBI=2 MW</x:v>
      </x:c>
      <x:c r="G11" s="18" t="str">
        <x:v>psi_N</x:v>
      </x:c>
      <x:c r="H11" s="18" t="str">
        <x:v>Normalized poloidal flux ψ_N from the profile x-axis.</x:v>
      </x:c>
      <x:c r="I11" s="18" t="str">
        <x:v>ψ_N</x:v>
      </x:c>
      <x:c r="J11" s="18" t="str">
        <x:v>10^19 m^-3</x:v>
      </x:c>
      <x:c r="K11" s="18" t="str">
        <x:v>m^-3</x:v>
      </x:c>
      <x:c r="L11" s="16" t="str">
        <x:v>experimental</x:v>
      </x:c>
      <x:c r="M11" s="16" t="str">
        <x:v>manual_digitize</x:v>
      </x:c>
      <x:c r="N11" s="16" t="str">
        <x:v>data/Yu_DIIID_PoP_2023/Yu_DIIID_PoP_2023__Fig7a__ne__P2MW.csv</x:v>
      </x:c>
      <x:c r="O11" s="18" t="str">
        <x:v>planned</x:v>
      </x:c>
      <x:c r="P11" s="18" t="str">
        <x:v>Page 7. H-mode NT discharge DIII-D#186476; compare low-power phase. Pressure panels Fig7d-e excluded.</x:v>
      </x:c>
      <x:c r="Q11" s="18" t="str">
        <x:f>IF(COUNTA(A11,B11,C11,D11,E11,G11,H11,J11,K11,L11,M11,O11)=12,"OK","MISSING")</x:f>
        <x:v>OK</x:v>
      </x:c>
      <x:c r="R11" s="18" t="str">
        <x:f>IF(AND(L11="experimental",OR(E11="ne",E11="Te",E11="Ti",E11="ni",E11="n_imp",E11="T_imp")),"OK","CHECK")</x:f>
        <x:v>OK</x:v>
      </x:c>
      <x:c r="S11" s="16" t="str">
        <x:v>Yu_DIIID_PoP_2023__Fig7a__ne__P2MW</x:v>
      </x:c>
    </x:row>
    <x:row r="12">
      <x:c r="A12" s="16" t="str">
        <x:v>Yu_DIIID_PoP_2023__Fig7a__ne__P7MW</x:v>
      </x:c>
      <x:c r="B12" s="16" t="str">
        <x:v>Yu_DIIID_PoP_2023</x:v>
      </x:c>
      <x:c r="C12" s="16" t="str">
        <x:v>Yu_DIIID_PoP_2023__NT__du02_P7_Hmode</x:v>
      </x:c>
      <x:c r="D12" s="16" t="str">
        <x:v>Fig7a</x:v>
      </x:c>
      <x:c r="E12" s="18" t="str">
        <x:v>ne</x:v>
      </x:c>
      <x:c r="F12" s="18" t="str">
        <x:v>PNBI=7 MW</x:v>
      </x:c>
      <x:c r="G12" s="18" t="str">
        <x:v>psi_N</x:v>
      </x:c>
      <x:c r="H12" s="18" t="str">
        <x:v>Normalized poloidal flux ψ_N from the profile x-axis.</x:v>
      </x:c>
      <x:c r="I12" s="18" t="str">
        <x:v>ψ_N</x:v>
      </x:c>
      <x:c r="J12" s="18" t="str">
        <x:v>10^19 m^-3</x:v>
      </x:c>
      <x:c r="K12" s="18" t="str">
        <x:v>m^-3</x:v>
      </x:c>
      <x:c r="L12" s="16" t="str">
        <x:v>experimental</x:v>
      </x:c>
      <x:c r="M12" s="16" t="str">
        <x:v>manual_digitize</x:v>
      </x:c>
      <x:c r="N12" s="16" t="str">
        <x:v>data/Yu_DIIID_PoP_2023/Yu_DIIID_PoP_2023__Fig7a__ne__P7MW.csv</x:v>
      </x:c>
      <x:c r="O12" s="18" t="str">
        <x:v>planned</x:v>
      </x:c>
      <x:c r="P12" s="18" t="str">
        <x:v>Page 7. H-mode NT discharge DIII-D#186476; compare high-power phase. Pressure panels Fig7d-e excluded.</x:v>
      </x:c>
      <x:c r="Q12" s="18" t="str">
        <x:f>IF(COUNTA(A12,B12,C12,D12,E12,G12,H12,J12,K12,L12,M12,O12)=12,"OK","MISSING")</x:f>
        <x:v>OK</x:v>
      </x:c>
      <x:c r="R12" s="18" t="str">
        <x:f>IF(AND(L12="experimental",OR(E12="ne",E12="Te",E12="Ti",E12="ni",E12="n_imp",E12="T_imp")),"OK","CHECK")</x:f>
        <x:v>OK</x:v>
      </x:c>
      <x:c r="S12" s="16" t="str">
        <x:v>Yu_DIIID_PoP_2023__Fig7a__ne__P7MW</x:v>
      </x:c>
    </x:row>
    <x:row r="13">
      <x:c r="A13" s="16" t="str">
        <x:v>Yu_DIIID_PoP_2023__Fig7b__Te__P2MW</x:v>
      </x:c>
      <x:c r="B13" s="16" t="str">
        <x:v>Yu_DIIID_PoP_2023</x:v>
      </x:c>
      <x:c r="C13" s="16" t="str">
        <x:v>Yu_DIIID_PoP_2023__NT__du02_P2_Hmode</x:v>
      </x:c>
      <x:c r="D13" s="16" t="str">
        <x:v>Fig7b</x:v>
      </x:c>
      <x:c r="E13" s="18" t="str">
        <x:v>Te</x:v>
      </x:c>
      <x:c r="F13" s="18" t="str">
        <x:v>PNBI=2 MW</x:v>
      </x:c>
      <x:c r="G13" s="18" t="str">
        <x:v>psi_N</x:v>
      </x:c>
      <x:c r="H13" s="18" t="str">
        <x:v>Normalized poloidal flux ψ_N from the profile x-axis.</x:v>
      </x:c>
      <x:c r="I13" s="18" t="str">
        <x:v>ψ_N</x:v>
      </x:c>
      <x:c r="J13" s="18" t="str">
        <x:v>10^3 eV</x:v>
      </x:c>
      <x:c r="K13" s="18" t="str">
        <x:v>eV</x:v>
      </x:c>
      <x:c r="L13" s="16" t="str">
        <x:v>experimental</x:v>
      </x:c>
      <x:c r="M13" s="16" t="str">
        <x:v>manual_digitize</x:v>
      </x:c>
      <x:c r="N13" s="16" t="str">
        <x:v>data/Yu_DIIID_PoP_2023/Yu_DIIID_PoP_2023__Fig7b__Te__P2MW.csv</x:v>
      </x:c>
      <x:c r="O13" s="18" t="str">
        <x:v>planned</x:v>
      </x:c>
      <x:c r="P13" s="18" t="str">
        <x:v>Page 7. H-mode NT discharge DIII-D#186476; compare low-power phase. Pressure panels Fig7d-e excluded.</x:v>
      </x:c>
      <x:c r="Q13" s="18" t="str">
        <x:f>IF(COUNTA(A13,B13,C13,D13,E13,G13,H13,J13,K13,L13,M13,O13)=12,"OK","MISSING")</x:f>
        <x:v>OK</x:v>
      </x:c>
      <x:c r="R13" s="18" t="str">
        <x:f>IF(AND(L13="experimental",OR(E13="ne",E13="Te",E13="Ti",E13="ni",E13="n_imp",E13="T_imp")),"OK","CHECK")</x:f>
        <x:v>OK</x:v>
      </x:c>
      <x:c r="S13" s="16" t="str">
        <x:v>Yu_DIIID_PoP_2023__Fig7b__Te__P2MW</x:v>
      </x:c>
    </x:row>
    <x:row r="14">
      <x:c r="A14" s="16" t="str">
        <x:v>Yu_DIIID_PoP_2023__Fig7b__Te__P7MW</x:v>
      </x:c>
      <x:c r="B14" s="16" t="str">
        <x:v>Yu_DIIID_PoP_2023</x:v>
      </x:c>
      <x:c r="C14" s="16" t="str">
        <x:v>Yu_DIIID_PoP_2023__NT__du02_P7_Hmode</x:v>
      </x:c>
      <x:c r="D14" s="16" t="str">
        <x:v>Fig7b</x:v>
      </x:c>
      <x:c r="E14" s="18" t="str">
        <x:v>Te</x:v>
      </x:c>
      <x:c r="F14" s="18" t="str">
        <x:v>PNBI=7 MW</x:v>
      </x:c>
      <x:c r="G14" s="18" t="str">
        <x:v>psi_N</x:v>
      </x:c>
      <x:c r="H14" s="18" t="str">
        <x:v>Normalized poloidal flux ψ_N from the profile x-axis.</x:v>
      </x:c>
      <x:c r="I14" s="18" t="str">
        <x:v>ψ_N</x:v>
      </x:c>
      <x:c r="J14" s="18" t="str">
        <x:v>10^3 eV</x:v>
      </x:c>
      <x:c r="K14" s="18" t="str">
        <x:v>eV</x:v>
      </x:c>
      <x:c r="L14" s="16" t="str">
        <x:v>experimental</x:v>
      </x:c>
      <x:c r="M14" s="16" t="str">
        <x:v>manual_digitize</x:v>
      </x:c>
      <x:c r="N14" s="16" t="str">
        <x:v>data/Yu_DIIID_PoP_2023/Yu_DIIID_PoP_2023__Fig7b__Te__P7MW.csv</x:v>
      </x:c>
      <x:c r="O14" s="18" t="str">
        <x:v>planned</x:v>
      </x:c>
      <x:c r="P14" s="18" t="str">
        <x:v>Page 7. H-mode NT discharge DIII-D#186476; compare high-power phase. Pressure panels Fig7d-e excluded.</x:v>
      </x:c>
      <x:c r="Q14" s="18" t="str">
        <x:f>IF(COUNTA(A14,B14,C14,D14,E14,G14,H14,J14,K14,L14,M14,O14)=12,"OK","MISSING")</x:f>
        <x:v>OK</x:v>
      </x:c>
      <x:c r="R14" s="18" t="str">
        <x:f>IF(AND(L14="experimental",OR(E14="ne",E14="Te",E14="Ti",E14="ni",E14="n_imp",E14="T_imp")),"OK","CHECK")</x:f>
        <x:v>OK</x:v>
      </x:c>
      <x:c r="S14" s="16" t="str">
        <x:v>Yu_DIIID_PoP_2023__Fig7b__Te__P7MW</x:v>
      </x:c>
    </x:row>
    <x:row r="15">
      <x:c r="A15" s="16" t="str">
        <x:v>Yu_DIIID_PoP_2023__Fig7c__Ti__P2MW</x:v>
      </x:c>
      <x:c r="B15" s="16" t="str">
        <x:v>Yu_DIIID_PoP_2023</x:v>
      </x:c>
      <x:c r="C15" s="16" t="str">
        <x:v>Yu_DIIID_PoP_2023__NT__du02_P2_Hmode</x:v>
      </x:c>
      <x:c r="D15" s="16" t="str">
        <x:v>Fig7c</x:v>
      </x:c>
      <x:c r="E15" s="18" t="str">
        <x:v>Ti</x:v>
      </x:c>
      <x:c r="F15" s="18" t="str">
        <x:v>PNBI=2 MW</x:v>
      </x:c>
      <x:c r="G15" s="18" t="str">
        <x:v>psi_N</x:v>
      </x:c>
      <x:c r="H15" s="18" t="str">
        <x:v>Normalized poloidal flux ψ_N from the profile x-axis.</x:v>
      </x:c>
      <x:c r="I15" s="18" t="str">
        <x:v>ψ_N</x:v>
      </x:c>
      <x:c r="J15" s="18" t="str">
        <x:v>10^3 eV</x:v>
      </x:c>
      <x:c r="K15" s="18" t="str">
        <x:v>eV</x:v>
      </x:c>
      <x:c r="L15" s="16" t="str">
        <x:v>experimental</x:v>
      </x:c>
      <x:c r="M15" s="16" t="str">
        <x:v>manual_digitize</x:v>
      </x:c>
      <x:c r="N15" s="16" t="str">
        <x:v>data/Yu_DIIID_PoP_2023/Yu_DIIID_PoP_2023__Fig7c__Ti__P2MW.csv</x:v>
      </x:c>
      <x:c r="O15" s="18" t="str">
        <x:v>planned</x:v>
      </x:c>
      <x:c r="P15" s="18" t="str">
        <x:v>Page 7. Carbon CER temperature used as Ti proxy for the H-mode NT discharge. Pressure panels Fig7d-e excluded.</x:v>
      </x:c>
      <x:c r="Q15" s="18" t="str">
        <x:f>IF(COUNTA(A15,B15,C15,D15,E15,G15,H15,J15,K15,L15,M15,O15)=12,"OK","MISSING")</x:f>
        <x:v>OK</x:v>
      </x:c>
      <x:c r="R15" s="18" t="str">
        <x:f>IF(AND(L15="experimental",OR(E15="ne",E15="Te",E15="Ti",E15="ni",E15="n_imp",E15="T_imp")),"OK","CHECK")</x:f>
        <x:v>OK</x:v>
      </x:c>
      <x:c r="S15" s="16" t="str">
        <x:v>Yu_DIIID_PoP_2023__Fig7c__Ti__P2MW</x:v>
      </x:c>
    </x:row>
    <x:row r="16">
      <x:c r="A16" s="16" t="str">
        <x:v>Yu_DIIID_PoP_2023__Fig7c__Ti__P7MW</x:v>
      </x:c>
      <x:c r="B16" s="16" t="str">
        <x:v>Yu_DIIID_PoP_2023</x:v>
      </x:c>
      <x:c r="C16" s="16" t="str">
        <x:v>Yu_DIIID_PoP_2023__NT__du02_P7_Hmode</x:v>
      </x:c>
      <x:c r="D16" s="16" t="str">
        <x:v>Fig7c</x:v>
      </x:c>
      <x:c r="E16" s="18" t="str">
        <x:v>Ti</x:v>
      </x:c>
      <x:c r="F16" s="18" t="str">
        <x:v>PNBI=7 MW</x:v>
      </x:c>
      <x:c r="G16" s="18" t="str">
        <x:v>psi_N</x:v>
      </x:c>
      <x:c r="H16" s="18" t="str">
        <x:v>Normalized poloidal flux ψ_N from the profile x-axis.</x:v>
      </x:c>
      <x:c r="I16" s="18" t="str">
        <x:v>ψ_N</x:v>
      </x:c>
      <x:c r="J16" s="18" t="str">
        <x:v>10^3 eV</x:v>
      </x:c>
      <x:c r="K16" s="18" t="str">
        <x:v>eV</x:v>
      </x:c>
      <x:c r="L16" s="16" t="str">
        <x:v>experimental</x:v>
      </x:c>
      <x:c r="M16" s="16" t="str">
        <x:v>manual_digitize</x:v>
      </x:c>
      <x:c r="N16" s="16" t="str">
        <x:v>data/Yu_DIIID_PoP_2023/Yu_DIIID_PoP_2023__Fig7c__Ti__P7MW.csv</x:v>
      </x:c>
      <x:c r="O16" s="18" t="str">
        <x:v>planned</x:v>
      </x:c>
      <x:c r="P16" s="18" t="str">
        <x:v>Page 7. Carbon CER temperature used as Ti proxy for the H-mode NT discharge. Pressure panels Fig7d-e excluded.</x:v>
      </x:c>
      <x:c r="Q16" s="18" t="str">
        <x:f>IF(COUNTA(A16,B16,C16,D16,E16,G16,H16,J16,K16,L16,M16,O16)=12,"OK","MISSING")</x:f>
        <x:v>OK</x:v>
      </x:c>
      <x:c r="R16" s="18" t="str">
        <x:f>IF(AND(L16="experimental",OR(E16="ne",E16="Te",E16="Ti",E16="ni",E16="n_imp",E16="T_imp")),"OK","CHECK")</x:f>
        <x:v>OK</x:v>
      </x:c>
      <x:c r="S16" s="16" t="str">
        <x:v>Yu_DIIID_PoP_2023__Fig7c__Ti__P7MW</x:v>
      </x:c>
    </x:row>
    <x:row r="17">
      <x:c r="A17" s="16" t="str">
        <x:v>Yu_DIIID_PoP_2023__Fig11a__ne__P2MW</x:v>
      </x:c>
      <x:c r="B17" s="16" t="str">
        <x:v>Yu_DIIID_PoP_2023</x:v>
      </x:c>
      <x:c r="C17" s="16" t="str">
        <x:v>Yu_DIIID_PoP_2023__NT__du04_P2_Lmode</x:v>
      </x:c>
      <x:c r="D17" s="16" t="str">
        <x:v>Fig11a</x:v>
      </x:c>
      <x:c r="E17" s="18" t="str">
        <x:v>ne</x:v>
      </x:c>
      <x:c r="F17" s="18" t="str">
        <x:v>PNBI=2 MW</x:v>
      </x:c>
      <x:c r="G17" s="18" t="str">
        <x:v>psi_N</x:v>
      </x:c>
      <x:c r="H17" s="18" t="str">
        <x:v>Normalized poloidal flux ψ_N from the profile x-axis.</x:v>
      </x:c>
      <x:c r="I17" s="18" t="str">
        <x:v>ψ_N</x:v>
      </x:c>
      <x:c r="J17" s="18" t="str">
        <x:v>10^19 m^-3</x:v>
      </x:c>
      <x:c r="K17" s="18" t="str">
        <x:v>m^-3</x:v>
      </x:c>
      <x:c r="L17" s="16" t="str">
        <x:v>experimental</x:v>
      </x:c>
      <x:c r="M17" s="16" t="str">
        <x:v>manual_digitize</x:v>
      </x:c>
      <x:c r="N17" s="16" t="str">
        <x:v>data/Yu_DIIID_PoP_2023/Yu_DIIID_PoP_2023__Fig11a__ne__P2MW.csv</x:v>
      </x:c>
      <x:c r="O17" s="18" t="str">
        <x:v>planned</x:v>
      </x:c>
      <x:c r="P17" s="18" t="str">
        <x:v>Page 9. L-mode NT discharge DIII-D#186471; compare low-power phase. Pressure panels Fig11d-e excluded.</x:v>
      </x:c>
      <x:c r="Q17" s="18" t="str">
        <x:f>IF(COUNTA(A17,B17,C17,D17,E17,G17,H17,J17,K17,L17,M17,O17)=12,"OK","MISSING")</x:f>
        <x:v>OK</x:v>
      </x:c>
      <x:c r="R17" s="18" t="str">
        <x:f>IF(AND(L17="experimental",OR(E17="ne",E17="Te",E17="Ti",E17="ni",E17="n_imp",E17="T_imp")),"OK","CHECK")</x:f>
        <x:v>OK</x:v>
      </x:c>
      <x:c r="S17" s="16" t="str">
        <x:v>Yu_DIIID_PoP_2023__Fig11a__ne__P2MW</x:v>
      </x:c>
    </x:row>
    <x:row r="18">
      <x:c r="A18" s="16" t="str">
        <x:v>Yu_DIIID_PoP_2023__Fig11a__ne__P9MW</x:v>
      </x:c>
      <x:c r="B18" s="16" t="str">
        <x:v>Yu_DIIID_PoP_2023</x:v>
      </x:c>
      <x:c r="C18" s="16" t="str">
        <x:v>Yu_DIIID_PoP_2023__NT__du04_P9_Lmode</x:v>
      </x:c>
      <x:c r="D18" s="16" t="str">
        <x:v>Fig11a</x:v>
      </x:c>
      <x:c r="E18" s="18" t="str">
        <x:v>ne</x:v>
      </x:c>
      <x:c r="F18" s="18" t="str">
        <x:v>PNBI=9 MW</x:v>
      </x:c>
      <x:c r="G18" s="18" t="str">
        <x:v>psi_N</x:v>
      </x:c>
      <x:c r="H18" s="18" t="str">
        <x:v>Normalized poloidal flux ψ_N from the profile x-axis.</x:v>
      </x:c>
      <x:c r="I18" s="18" t="str">
        <x:v>ψ_N</x:v>
      </x:c>
      <x:c r="J18" s="18" t="str">
        <x:v>10^19 m^-3</x:v>
      </x:c>
      <x:c r="K18" s="18" t="str">
        <x:v>m^-3</x:v>
      </x:c>
      <x:c r="L18" s="16" t="str">
        <x:v>experimental</x:v>
      </x:c>
      <x:c r="M18" s="16" t="str">
        <x:v>manual_digitize</x:v>
      </x:c>
      <x:c r="N18" s="16" t="str">
        <x:v>data/Yu_DIIID_PoP_2023/Yu_DIIID_PoP_2023__Fig11a__ne__P9MW.csv</x:v>
      </x:c>
      <x:c r="O18" s="18" t="str">
        <x:v>planned</x:v>
      </x:c>
      <x:c r="P18" s="18" t="str">
        <x:v>Page 9. L-mode NT discharge DIII-D#186471; compare high-power phase. Pressure panels Fig11d-e excluded.</x:v>
      </x:c>
      <x:c r="Q18" s="18" t="str">
        <x:f>IF(COUNTA(A18,B18,C18,D18,E18,G18,H18,J18,K18,L18,M18,O18)=12,"OK","MISSING")</x:f>
        <x:v>OK</x:v>
      </x:c>
      <x:c r="R18" s="18" t="str">
        <x:f>IF(AND(L18="experimental",OR(E18="ne",E18="Te",E18="Ti",E18="ni",E18="n_imp",E18="T_imp")),"OK","CHECK")</x:f>
        <x:v>OK</x:v>
      </x:c>
      <x:c r="S18" s="16" t="str">
        <x:v>Yu_DIIID_PoP_2023__Fig11a__ne__P9MW</x:v>
      </x:c>
    </x:row>
    <x:row r="19">
      <x:c r="A19" s="16" t="str">
        <x:v>Yu_DIIID_PoP_2023__Fig11b__Te__P2MW</x:v>
      </x:c>
      <x:c r="B19" s="16" t="str">
        <x:v>Yu_DIIID_PoP_2023</x:v>
      </x:c>
      <x:c r="C19" s="16" t="str">
        <x:v>Yu_DIIID_PoP_2023__NT__du04_P2_Lmode</x:v>
      </x:c>
      <x:c r="D19" s="16" t="str">
        <x:v>Fig11b</x:v>
      </x:c>
      <x:c r="E19" s="18" t="str">
        <x:v>Te</x:v>
      </x:c>
      <x:c r="F19" s="18" t="str">
        <x:v>PNBI=2 MW</x:v>
      </x:c>
      <x:c r="G19" s="18" t="str">
        <x:v>psi_N</x:v>
      </x:c>
      <x:c r="H19" s="18" t="str">
        <x:v>Normalized poloidal flux ψ_N from the profile x-axis.</x:v>
      </x:c>
      <x:c r="I19" s="18" t="str">
        <x:v>ψ_N</x:v>
      </x:c>
      <x:c r="J19" s="18" t="str">
        <x:v>10^3 eV</x:v>
      </x:c>
      <x:c r="K19" s="18" t="str">
        <x:v>eV</x:v>
      </x:c>
      <x:c r="L19" s="16" t="str">
        <x:v>experimental</x:v>
      </x:c>
      <x:c r="M19" s="16" t="str">
        <x:v>manual_digitize</x:v>
      </x:c>
      <x:c r="N19" s="16" t="str">
        <x:v>data/Yu_DIIID_PoP_2023/Yu_DIIID_PoP_2023__Fig11b__Te__P2MW.csv</x:v>
      </x:c>
      <x:c r="O19" s="18" t="str">
        <x:v>planned</x:v>
      </x:c>
      <x:c r="P19" s="18" t="str">
        <x:v>Page 9. L-mode NT discharge DIII-D#186471; compare low-power phase. Pressure panels Fig11d-e excluded.</x:v>
      </x:c>
      <x:c r="Q19" s="18" t="str">
        <x:f>IF(COUNTA(A19,B19,C19,D19,E19,G19,H19,J19,K19,L19,M19,O19)=12,"OK","MISSING")</x:f>
        <x:v>OK</x:v>
      </x:c>
      <x:c r="R19" s="18" t="str">
        <x:f>IF(AND(L19="experimental",OR(E19="ne",E19="Te",E19="Ti",E19="ni",E19="n_imp",E19="T_imp")),"OK","CHECK")</x:f>
        <x:v>OK</x:v>
      </x:c>
      <x:c r="S19" s="16" t="str">
        <x:v>Yu_DIIID_PoP_2023__Fig11b__Te__P2MW</x:v>
      </x:c>
    </x:row>
    <x:row r="20">
      <x:c r="A20" s="16" t="str">
        <x:v>Yu_DIIID_PoP_2023__Fig11b__Te__P9MW</x:v>
      </x:c>
      <x:c r="B20" s="16" t="str">
        <x:v>Yu_DIIID_PoP_2023</x:v>
      </x:c>
      <x:c r="C20" s="16" t="str">
        <x:v>Yu_DIIID_PoP_2023__NT__du04_P9_Lmode</x:v>
      </x:c>
      <x:c r="D20" s="16" t="str">
        <x:v>Fig11b</x:v>
      </x:c>
      <x:c r="E20" s="18" t="str">
        <x:v>Te</x:v>
      </x:c>
      <x:c r="F20" s="18" t="str">
        <x:v>PNBI=9 MW</x:v>
      </x:c>
      <x:c r="G20" s="18" t="str">
        <x:v>psi_N</x:v>
      </x:c>
      <x:c r="H20" s="18" t="str">
        <x:v>Normalized poloidal flux ψ_N from the profile x-axis.</x:v>
      </x:c>
      <x:c r="I20" s="18" t="str">
        <x:v>ψ_N</x:v>
      </x:c>
      <x:c r="J20" s="18" t="str">
        <x:v>10^3 eV</x:v>
      </x:c>
      <x:c r="K20" s="18" t="str">
        <x:v>eV</x:v>
      </x:c>
      <x:c r="L20" s="16" t="str">
        <x:v>experimental</x:v>
      </x:c>
      <x:c r="M20" s="16" t="str">
        <x:v>manual_digitize</x:v>
      </x:c>
      <x:c r="N20" s="16" t="str">
        <x:v>data/Yu_DIIID_PoP_2023/Yu_DIIID_PoP_2023__Fig11b__Te__P9MW.csv</x:v>
      </x:c>
      <x:c r="O20" s="18" t="str">
        <x:v>planned</x:v>
      </x:c>
      <x:c r="P20" s="18" t="str">
        <x:v>Page 9. L-mode NT discharge DIII-D#186471; compare high-power phase. Pressure panels Fig11d-e excluded.</x:v>
      </x:c>
      <x:c r="Q20" s="18" t="str">
        <x:f>IF(COUNTA(A20,B20,C20,D20,E20,G20,H20,J20,K20,L20,M20,O20)=12,"OK","MISSING")</x:f>
        <x:v>OK</x:v>
      </x:c>
      <x:c r="R20" s="18" t="str">
        <x:f>IF(AND(L20="experimental",OR(E20="ne",E20="Te",E20="Ti",E20="ni",E20="n_imp",E20="T_imp")),"OK","CHECK")</x:f>
        <x:v>OK</x:v>
      </x:c>
      <x:c r="S20" s="16" t="str">
        <x:v>Yu_DIIID_PoP_2023__Fig11b__Te__P9MW</x:v>
      </x:c>
    </x:row>
    <x:row r="21">
      <x:c r="A21" s="16" t="str">
        <x:v>Yu_DIIID_PoP_2023__Fig11c__Ti__P2MW</x:v>
      </x:c>
      <x:c r="B21" s="16" t="str">
        <x:v>Yu_DIIID_PoP_2023</x:v>
      </x:c>
      <x:c r="C21" s="16" t="str">
        <x:v>Yu_DIIID_PoP_2023__NT__du04_P2_Lmode</x:v>
      </x:c>
      <x:c r="D21" s="16" t="str">
        <x:v>Fig11c</x:v>
      </x:c>
      <x:c r="E21" s="18" t="str">
        <x:v>Ti</x:v>
      </x:c>
      <x:c r="F21" s="18" t="str">
        <x:v>PNBI=2 MW</x:v>
      </x:c>
      <x:c r="G21" s="18" t="str">
        <x:v>psi_N</x:v>
      </x:c>
      <x:c r="H21" s="18" t="str">
        <x:v>Normalized poloidal flux ψ_N from the profile x-axis.</x:v>
      </x:c>
      <x:c r="I21" s="18" t="str">
        <x:v>ψ_N</x:v>
      </x:c>
      <x:c r="J21" s="18" t="str">
        <x:v>10^3 eV</x:v>
      </x:c>
      <x:c r="K21" s="18" t="str">
        <x:v>eV</x:v>
      </x:c>
      <x:c r="L21" s="16" t="str">
        <x:v>experimental</x:v>
      </x:c>
      <x:c r="M21" s="16" t="str">
        <x:v>manual_digitize</x:v>
      </x:c>
      <x:c r="N21" s="16" t="str">
        <x:v>data/Yu_DIIID_PoP_2023/Yu_DIIID_PoP_2023__Fig11c__Ti__P2MW.csv</x:v>
      </x:c>
      <x:c r="O21" s="18" t="str">
        <x:v>planned</x:v>
      </x:c>
      <x:c r="P21" s="18" t="str">
        <x:v>Page 9. Carbon CER temperature used as Ti proxy for the L-mode NT discharge. Pressure panels Fig11d-e excluded.</x:v>
      </x:c>
      <x:c r="Q21" s="18" t="str">
        <x:f>IF(COUNTA(A21,B21,C21,D21,E21,G21,H21,J21,K21,L21,M21,O21)=12,"OK","MISSING")</x:f>
        <x:v>OK</x:v>
      </x:c>
      <x:c r="R21" s="18" t="str">
        <x:f>IF(AND(L21="experimental",OR(E21="ne",E21="Te",E21="Ti",E21="ni",E21="n_imp",E21="T_imp")),"OK","CHECK")</x:f>
        <x:v>OK</x:v>
      </x:c>
      <x:c r="S21" s="16" t="str">
        <x:v>Yu_DIIID_PoP_2023__Fig11c__Ti__P2MW</x:v>
      </x:c>
    </x:row>
    <x:row r="22">
      <x:c r="A22" s="16" t="str">
        <x:v>Yu_DIIID_PoP_2023__Fig11c__Ti__P9MW</x:v>
      </x:c>
      <x:c r="B22" s="16" t="str">
        <x:v>Yu_DIIID_PoP_2023</x:v>
      </x:c>
      <x:c r="C22" s="16" t="str">
        <x:v>Yu_DIIID_PoP_2023__NT__du04_P9_Lmode</x:v>
      </x:c>
      <x:c r="D22" s="16" t="str">
        <x:v>Fig11c</x:v>
      </x:c>
      <x:c r="E22" s="18" t="str">
        <x:v>Ti</x:v>
      </x:c>
      <x:c r="F22" s="18" t="str">
        <x:v>PNBI=9 MW</x:v>
      </x:c>
      <x:c r="G22" s="18" t="str">
        <x:v>psi_N</x:v>
      </x:c>
      <x:c r="H22" s="18" t="str">
        <x:v>Normalized poloidal flux ψ_N from the profile x-axis.</x:v>
      </x:c>
      <x:c r="I22" s="18" t="str">
        <x:v>ψ_N</x:v>
      </x:c>
      <x:c r="J22" s="18" t="str">
        <x:v>10^3 eV</x:v>
      </x:c>
      <x:c r="K22" s="18" t="str">
        <x:v>eV</x:v>
      </x:c>
      <x:c r="L22" s="16" t="str">
        <x:v>experimental</x:v>
      </x:c>
      <x:c r="M22" s="16" t="str">
        <x:v>manual_digitize</x:v>
      </x:c>
      <x:c r="N22" s="16" t="str">
        <x:v>data/Yu_DIIID_PoP_2023/Yu_DIIID_PoP_2023__Fig11c__Ti__P9MW.csv</x:v>
      </x:c>
      <x:c r="O22" s="18" t="str">
        <x:v>planned</x:v>
      </x:c>
      <x:c r="P22" s="18" t="str">
        <x:v>Page 9. Carbon CER temperature used as Ti proxy for the L-mode NT discharge. Pressure panels Fig11d-e excluded.</x:v>
      </x:c>
      <x:c r="Q22" s="18" t="str">
        <x:f>IF(COUNTA(A22,B22,C22,D22,E22,G22,H22,J22,K22,L22,M22,O22)=12,"OK","MISSING")</x:f>
        <x:v>OK</x:v>
      </x:c>
      <x:c r="R22" s="18" t="str">
        <x:f>IF(AND(L22="experimental",OR(E22="ne",E22="Te",E22="Ti",E22="ni",E22="n_imp",E22="T_imp")),"OK","CHECK")</x:f>
        <x:v>OK</x:v>
      </x:c>
      <x:c r="S22" s="16" t="str">
        <x:v>Yu_DIIID_PoP_2023__Fig11c__Ti__P9MW</x:v>
      </x:c>
    </x:row>
  </x:sheetData>
  <x:mergeCells>
    <x:mergeCell ref="A1:S1"/>
    <x:mergeCell ref="A2:S2"/>
  </x:mergeCells>
  <x:conditionalFormatting sqref="O5:O22">
    <x:cfRule type="cellIs" dxfId="0" priority="1">
      <x:formula>"planned"</x:formula>
    </x:cfRule>
  </x:conditionalFormatting>
  <x:conditionalFormatting sqref="Q5:R22">
    <x:cfRule type="cellIs" dxfId="1" priority="2">
      <x:formula>"MISSING"</x:formula>
    </x:cfRule>
    <x:cfRule type="cellIs" dxfId="2" priority="3">
      <x:formula>"CHECK"</x:formula>
    </x:cfRule>
    <x:cfRule type="cellIs" dxfId="3" priority="4">
      <x:formula>"OK"</x:formula>
    </x:cfRule>
  </x:conditionalFormatting>
  <x:dataValidations count="4">
    <x:dataValidation type="list" allowBlank="0" showDropDown="0" sqref="E5:E500">
      <x:formula1>"ne,Te,Ti,ni,n_imp,T_imp"</x:formula1>
    </x:dataValidation>
    <x:dataValidation type="list" allowBlank="0" showDropDown="0" sqref="L5:L500">
      <x:formula1>"experimental"</x:formula1>
    </x:dataValidation>
    <x:dataValidation type="list" allowBlank="0" showDropDown="0" sqref="M5:M500">
      <x:formula1>"manual_digitize,manual_table,direct_numeric,hybrid"</x:formula1>
    </x:dataValidation>
    <x:dataValidation type="list" allowBlank="0" showDropDown="0" sqref="O5:O500">
      <x:formula1>"planned,digitized,imported,qa_passed,rejected"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  <x:col min="11" max="11" width="38" hidden="0" customWidth="1"/>
  </x:cols>
  <x:sheetData>
    <x:row r="1" ht="24" customHeight="1">
      <x:c r="A1" s="4" t="str">
        <x:v>04_QA_LOG / 质检记录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7" t="str">
        <x:v>当前尚未录入 QA 记录；后续复核时每条 profile 可追加一行。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8" customHeight="1">
      <x:c r="A4" s="13" t="str">
        <x:v>qa_id</x:v>
      </x:c>
      <x:c r="B4" s="13" t="str">
        <x:v>profile_id</x:v>
      </x:c>
      <x:c r="C4" s="13" t="str">
        <x:v>paper_id</x:v>
      </x:c>
      <x:c r="D4" s="13" t="str">
        <x:v>check_date</x:v>
      </x:c>
      <x:c r="E4" s="13" t="str">
        <x:v>reviewer</x:v>
      </x:c>
      <x:c r="F4" s="13" t="str">
        <x:v>check_item</x:v>
      </x:c>
      <x:c r="G4" s="13" t="str">
        <x:v>qa_status</x:v>
      </x:c>
      <x:c r="H4" s="13" t="str">
        <x:v>issue_found</x:v>
      </x:c>
      <x:c r="I4" s="13" t="str">
        <x:v>action_taken</x:v>
      </x:c>
      <x:c r="J4" s="13" t="str">
        <x:v>final_decision</x:v>
      </x:c>
      <x:c r="K4" s="13" t="str">
        <x:v>notes</x:v>
      </x:c>
    </x:row>
  </x:sheetData>
  <x:mergeCells>
    <x:mergeCell ref="A1:K1"/>
    <x:mergeCell ref="A2:K2"/>
  </x:mergeCells>
  <x:dataValidations count="1">
    <x:dataValidation type="list" allowBlank="1" showDropDown="0" sqref="G5:G500">
      <x:formula1>"pending,pass,fail"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2" hidden="0" customWidth="1"/>
    <x:col min="4" max="4" width="12" hidden="0" customWidth="1"/>
    <x:col min="5" max="5" width="8" hidden="0" customWidth="1"/>
    <x:col min="6" max="6" width="11" hidden="0" customWidth="1"/>
    <x:col min="7" max="7" width="18" hidden="0" customWidth="1"/>
    <x:col min="8" max="8" width="10" hidden="0" customWidth="1"/>
    <x:col min="9" max="9" width="12" hidden="0" customWidth="1"/>
    <x:col min="10" max="10" width="18" hidden="0" customWidth="1"/>
    <x:col min="11" max="11" width="15" hidden="0" customWidth="1"/>
    <x:col min="12" max="12" width="11" hidden="0" customWidth="1"/>
    <x:col min="13" max="13" width="28" hidden="0" customWidth="1"/>
    <x:col min="14" max="14" width="40" hidden="0" customWidth="1"/>
    <x:col min="15" max="15" width="48" hidden="0" customWidth="1"/>
    <x:col min="16" max="16" width="28" hidden="0" customWidth="1"/>
  </x:cols>
  <x:sheetData>
    <x:row r="1" ht="24" customHeight="1">
      <x:c r="A1" s="4" t="str">
        <x:v>05_PROCESSING_LOG / 额外处理登记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A2" s="7" t="str">
        <x:v>README 要求：若论文包含 simulation/theory 或其他需额外追踪的内容，应登记在此表，便于后续检索。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8" customHeight="1">
      <x:c r="A4" s="13" t="str">
        <x:v>record_id</x:v>
      </x:c>
      <x:c r="B4" s="13" t="str">
        <x:v>file_name</x:v>
      </x:c>
      <x:c r="C4" s="13" t="str">
        <x:v>title</x:v>
      </x:c>
      <x:c r="D4" s="13" t="str">
        <x:v>first_author</x:v>
      </x:c>
      <x:c r="E4" s="13" t="str">
        <x:v>year</x:v>
      </x:c>
      <x:c r="F4" s="13" t="str">
        <x:v>journal_abbr</x:v>
      </x:c>
      <x:c r="G4" s="13" t="str">
        <x:v>doi</x:v>
      </x:c>
      <x:c r="H4" s="13" t="str">
        <x:v>nt_related</x:v>
      </x:c>
      <x:c r="I4" s="13" t="str">
        <x:v>includes_pt_comparison</x:v>
      </x:c>
      <x:c r="J4" s="13" t="str">
        <x:v>contains_experimental_temp_density_profiles</x:v>
      </x:c>
      <x:c r="K4" s="13" t="str">
        <x:v>contains_simulation_or_theory</x:v>
      </x:c>
      <x:c r="L4" s="13" t="str">
        <x:v>decision</x:v>
      </x:c>
      <x:c r="M4" s="13" t="str">
        <x:v>next_action</x:v>
      </x:c>
      <x:c r="N4" s="13" t="str">
        <x:v>reason</x:v>
      </x:c>
      <x:c r="O4" s="13" t="str">
        <x:v>notes</x:v>
      </x:c>
      <x:c r="P4" s="13" t="str">
        <x:v>source_file</x:v>
      </x:c>
    </x:row>
    <x:row r="5">
      <x:c r="A5" s="16" t="str">
        <x:v>PROC-0001</x:v>
      </x:c>
      <x:c r="B5" s="16" t="str">
        <x:v>Yu,Understanding the negative triangularity ELM trigger and ELM free state on DIII-D with ECE-imaging,Phys. Plasmas-2023.pdf</x:v>
      </x:c>
      <x:c r="C5" s="16" t="str">
        <x:v>Understanding the negative triangularity ELM trigger and ELM free state on DIII-D with ECE-imaging</x:v>
      </x:c>
      <x:c r="D5" s="16" t="str">
        <x:v>Yu</x:v>
      </x:c>
      <x:c r="E5" s="16" t="n">
        <x:v>2023</x:v>
      </x:c>
      <x:c r="F5" s="16" t="str">
        <x:v>PoP</x:v>
      </x:c>
      <x:c r="G5" s="16" t="str">
        <x:v>10.1063/5.0144711</x:v>
      </x:c>
      <x:c r="H5" s="16" t="str">
        <x:v>Yes</x:v>
      </x:c>
      <x:c r="I5" s="16" t="str">
        <x:v>No</x:v>
      </x:c>
      <x:c r="J5" s="16" t="str">
        <x:v>Yes</x:v>
      </x:c>
      <x:c r="K5" s="16" t="str">
        <x:v>Yes</x:v>
      </x:c>
      <x:c r="L5" s="16" t="str">
        <x:v>accept</x:v>
      </x:c>
      <x:c r="M5" s="16" t="str">
        <x:v>Keep paper in main sheets; if later digitizing figures, continue excluding Sec.VI simulation/modeling figures and pressure-only panels.</x:v>
      </x:c>
      <x:c r="N5" s="16" t="str">
        <x:v>Paper is within NT-only scope for experimental Te/Ti/ne profiles, but it also contains simulation/modeling content that should remain excluded from current profile extraction.</x:v>
      </x:c>
      <x:c r="O5" s="16" t="str">
        <x:v>Added here because README requests extra logging for papers that contain simulation figures/content, even when eligible experimental NT profiles are kept in the main workbook.</x:v>
      </x:c>
      <x:c r="P5" s="16" t="str">
        <x:v>Yu,Understanding the negative triangularity ELM trigger and ELM free state on DIII-D with ECE-imaging,Phys. Plasmas-2023.pdf</x:v>
      </x:c>
    </x:row>
  </x:sheetData>
  <x:mergeCells>
    <x:mergeCell ref="A1:P1"/>
    <x:mergeCell ref="A2:P2"/>
  </x:mergeCells>
  <x:dataValidations count="2">
    <x:dataValidation type="list" allowBlank="1" showDropDown="0" sqref="H5:K200">
      <x:formula1>"Yes,No"</x:formula1>
    </x:dataValidation>
    <x:dataValidation type="list" allowBlank="1" showDropDown="0" sqref="L5:L200">
      <x:formula1>"accept,review,reject,processing_log_only"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2" hidden="0" customWidth="1"/>
    <x:col min="5" max="5" width="18" hidden="0" customWidth="1"/>
    <x:col min="6" max="6" width="12" hidden="0" customWidth="1"/>
    <x:col min="7" max="7" width="10" hidden="0" customWidth="1"/>
    <x:col min="8" max="8" width="12" hidden="0" customWidth="1"/>
    <x:col min="9" max="9" width="18" hidden="0" customWidth="1"/>
    <x:col min="10" max="10" width="12" hidden="0" customWidth="1"/>
  </x:cols>
  <x:sheetData>
    <x:row r="1" ht="24" customHeight="1">
      <x:c r="A1" s="4" t="str">
        <x:v>LOOKUPS / 数据字典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7" t="str">
        <x:v>供下拉菜单与录入规范使用。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3" t="str">
        <x:v>variable</x:v>
      </x:c>
      <x:c r="B4" s="13" t="str">
        <x:v>coord_name</x:v>
      </x:c>
      <x:c r="C4" s="13" t="str">
        <x:v>y_unit_SI</x:v>
      </x:c>
      <x:c r="D4" s="13" t="str">
        <x:v>data_origin</x:v>
      </x:c>
      <x:c r="E4" s="13" t="str">
        <x:v>extraction_method</x:v>
      </x:c>
      <x:c r="F4" s="13" t="str">
        <x:v>status</x:v>
      </x:c>
      <x:c r="G4" s="13" t="str">
        <x:v>yes_no</x:v>
      </x:c>
      <x:c r="H4" s="13" t="str">
        <x:v>paper_type</x:v>
      </x:c>
      <x:c r="I4" s="13" t="str">
        <x:v>decision</x:v>
      </x:c>
      <x:c r="J4" s="13" t="str">
        <x:v>qa_status</x:v>
      </x:c>
    </x:row>
    <x:row r="5">
      <x:c r="A5" s="16" t="str">
        <x:v>ne</x:v>
      </x:c>
      <x:c r="B5" s="16" t="str">
        <x:v>psi_N</x:v>
      </x:c>
      <x:c r="C5" s="16" t="str">
        <x:v>m^-3</x:v>
      </x:c>
      <x:c r="D5" s="16" t="str">
        <x:v>experimental</x:v>
      </x:c>
      <x:c r="E5" s="16" t="str">
        <x:v>manual_digitize</x:v>
      </x:c>
      <x:c r="F5" s="16" t="str">
        <x:v>planned</x:v>
      </x:c>
      <x:c r="G5" s="16" t="str">
        <x:v>Yes</x:v>
      </x:c>
      <x:c r="H5" s="16" t="str">
        <x:v>experimental</x:v>
      </x:c>
      <x:c r="I5" s="16" t="str">
        <x:v>accept</x:v>
      </x:c>
      <x:c r="J5" s="16" t="str">
        <x:v>pending</x:v>
      </x:c>
    </x:row>
    <x:row r="6">
      <x:c r="A6" s="16" t="str">
        <x:v>Te</x:v>
      </x:c>
      <x:c r="B6" s="16" t="str">
        <x:v>psi_N</x:v>
      </x:c>
      <x:c r="C6" s="16" t="str">
        <x:v>eV</x:v>
      </x:c>
      <x:c r="D6" s="16" t="str">
        <x:v>experimental</x:v>
      </x:c>
      <x:c r="E6" s="16" t="str">
        <x:v>manual_table</x:v>
      </x:c>
      <x:c r="F6" s="16" t="str">
        <x:v>digitized</x:v>
      </x:c>
      <x:c r="G6" s="16" t="str">
        <x:v>No</x:v>
      </x:c>
      <x:c r="H6" s="16" t="str">
        <x:v>theory</x:v>
      </x:c>
      <x:c r="I6" s="16" t="str">
        <x:v>review</x:v>
      </x:c>
      <x:c r="J6" s="16" t="str">
        <x:v>pass</x:v>
      </x:c>
    </x:row>
    <x:row r="7">
      <x:c r="A7" s="16" t="str">
        <x:v>Ti</x:v>
      </x:c>
      <x:c r="B7" s="16" t="str">
        <x:v>psi_N</x:v>
      </x:c>
      <x:c r="C7" s="16" t="str">
        <x:v>eV</x:v>
      </x:c>
      <x:c r="D7" s="16" t="str">
        <x:v>experimental</x:v>
      </x:c>
      <x:c r="E7" s="16" t="str">
        <x:v>direct_numeric</x:v>
      </x:c>
      <x:c r="F7" s="16" t="str">
        <x:v>imported</x:v>
      </x:c>
      <x:c r="G7" s="16" t="str"/>
      <x:c r="H7" s="16" t="str">
        <x:v>simulation</x:v>
      </x:c>
      <x:c r="I7" s="16" t="str">
        <x:v>reject</x:v>
      </x:c>
      <x:c r="J7" s="16" t="str">
        <x:v>fail</x:v>
      </x:c>
    </x:row>
    <x:row r="8">
      <x:c r="A8" s="16" t="str">
        <x:v>ni</x:v>
      </x:c>
      <x:c r="B8" s="16" t="str">
        <x:v>psi_N</x:v>
      </x:c>
      <x:c r="C8" s="16" t="str">
        <x:v>m^-3</x:v>
      </x:c>
      <x:c r="D8" s="16" t="str">
        <x:v>experimental</x:v>
      </x:c>
      <x:c r="E8" s="16" t="str">
        <x:v>hybrid</x:v>
      </x:c>
      <x:c r="F8" s="16" t="str">
        <x:v>qa_passed</x:v>
      </x:c>
      <x:c r="G8" s="16" t="str"/>
      <x:c r="H8" s="16" t="str">
        <x:v>mixed</x:v>
      </x:c>
      <x:c r="I8" s="16" t="str">
        <x:v>processing_log_only</x:v>
      </x:c>
      <x:c r="J8" s="16" t="str"/>
    </x:row>
    <x:row r="9">
      <x:c r="A9" s="16" t="str">
        <x:v>n_imp</x:v>
      </x:c>
      <x:c r="B9" s="16" t="str">
        <x:v>r_a</x:v>
      </x:c>
      <x:c r="C9" s="16" t="str">
        <x:v>m^-3</x:v>
      </x:c>
      <x:c r="D9" s="16" t="str">
        <x:v>experimental</x:v>
      </x:c>
      <x:c r="E9" s="16" t="str">
        <x:v>manual_digitize</x:v>
      </x:c>
      <x:c r="F9" s="16" t="str">
        <x:v>rejected</x:v>
      </x:c>
      <x:c r="G9" s="16" t="str"/>
      <x:c r="H9" s="16" t="str"/>
      <x:c r="I9" s="16" t="str"/>
      <x:c r="J9" s="16" t="str"/>
    </x:row>
    <x:row r="10">
      <x:c r="A10" s="16" t="str">
        <x:v>T_imp</x:v>
      </x:c>
      <x:c r="B10" s="16" t="str">
        <x:v>other</x:v>
      </x:c>
      <x:c r="C10" s="16" t="str">
        <x:v>eV</x:v>
      </x:c>
      <x:c r="D10" s="16" t="str">
        <x:v>experimental</x:v>
      </x:c>
      <x:c r="E10" s="16" t="str">
        <x:v>manual_digitize</x:v>
      </x:c>
      <x:c r="F10" s="16" t="str"/>
      <x:c r="G10" s="16" t="str"/>
      <x:c r="H10" s="16" t="str"/>
      <x:c r="I10" s="16" t="str"/>
      <x:c r="J10" s="16" t="str"/>
    </x:row>
  </x:sheetData>
  <x:mergeCells>
    <x:mergeCell ref="A1:J1"/>
    <x:mergeCell ref="A2:J2"/>
  </x:mergeCells>
  <x:pageMargins left="0.7" right="0.7" top="0.75" bottom="0.75" header="0.3" footer="0.3"/>
</x:worksheet>
</file>